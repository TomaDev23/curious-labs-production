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17bb14928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7133c4269ee43a9"/>
    <x:sheet xmlns:r="http://schemas.openxmlformats.org/officeDocument/2006/relationships" name="Scenes" sheetId="2" r:id="R2eb1956e383c4fc1"/>
    <x:sheet xmlns:r="http://schemas.openxmlformats.org/officeDocument/2006/relationships" name="Spaces" sheetId="3" r:id="R7fb073d691b44990"/>
    <x:sheet xmlns:r="http://schemas.openxmlformats.org/officeDocument/2006/relationships" name="Artwork" sheetId="4" r:id="Ra24e19eb11f84942"/>
    <x:sheet xmlns:r="http://schemas.openxmlformats.org/officeDocument/2006/relationships" name="Coded Visuals" sheetId="5" r:id="R51b34c6645ef4144"/>
    <x:sheet xmlns:r="http://schemas.openxmlformats.org/officeDocument/2006/relationships" name="Interactions" sheetId="6" r:id="R7197241508f04814"/>
    <x:sheet xmlns:r="http://schemas.openxmlformats.org/officeDocument/2006/relationships" name="Work" sheetId="7" r:id="R6c6f51fa552b4256"/>
    <x:sheet xmlns:r="http://schemas.openxmlformats.org/officeDocument/2006/relationships" name="Copy Gates" sheetId="8" r:id="R5c58129bf67a48ad"/>
    <x:sheet xmlns:r="http://schemas.openxmlformats.org/officeDocument/2006/relationships" name="Decisions" sheetId="9" r:id="R3ca9fbc3a10f4277"/>
    <x:sheet xmlns:r="http://schemas.openxmlformats.org/officeDocument/2006/relationships" name="QA" sheetId="10" r:id="R29c85763ce8f4c1e"/>
    <x:sheet xmlns:r="http://schemas.openxmlformats.org/officeDocument/2006/relationships" name="Sources" sheetId="11" r:id="Rcaf4985f034b4612"/>
    <x:sheet xmlns:r="http://schemas.openxmlformats.org/officeDocument/2006/relationships" name="References" sheetId="12" r:id="Rfd41a5db0ecc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46776"/>
      <x:name val="Carlito"/>
    </x:font>
    <x:font>
      <x:sz val="11"/>
      <x:color rgb="FF25333D"/>
      <x:name val="Carlito"/>
    </x:font>
    <x:font>
      <x:b/>
      <x:sz val="11"/>
      <x:color rgb="FF146776"/>
      <x:name val="Carlito"/>
    </x:font>
    <x:font>
      <x:sz val="11"/>
      <x:color rgb="FF195CA8"/>
      <x:name val="Carlito"/>
    </x:font>
    <x:font>
      <x:b/>
      <x:sz val="11"/>
      <x:color rgb="FF12233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2331"/>
      </x:patternFill>
    </x:fill>
    <x:fill>
      <x:patternFill patternType="solid">
        <x:fgColor rgb="FFF1F5F7"/>
      </x:patternFill>
    </x:fill>
    <x:fill>
      <x:patternFill patternType="solid">
        <x:fgColor rgb="FF146776"/>
      </x:patternFill>
    </x:fill>
    <x:fill>
      <x:patternFill patternType="solid">
        <x:fgColor rgb="FFFFF0CC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 wrapText="1"/>
    </x:xf>
    <x:xf numFmtId="200" fontId="3" fillId="3" borderId="1" xfId="0" applyNumberFormat="1" applyFont="1" applyFill="1" applyBorder="1" applyAlignment="1">
      <x:alignment vertical="center" wrapText="1"/>
    </x:xf>
    <x:xf numFmtId="200" fontId="6" fillId="3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73"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9E9ED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8DFD8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E2F2D7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8DF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a9aea562d24c1d" /><Relationship Type="http://schemas.openxmlformats.org/officeDocument/2006/relationships/theme" Target="/xl/theme/theme1.xml" Id="R94ce4ea485424f63" /><Relationship Type="http://schemas.openxmlformats.org/officeDocument/2006/relationships/sharedStrings" Target="/xl/sharedStrings.xml" Id="R22ff8171cc9a4484" /><Relationship Type="http://schemas.openxmlformats.org/officeDocument/2006/relationships/worksheet" Target="/xl/worksheets/sheet1.xml" Id="R77133c4269ee43a9" /><Relationship Type="http://schemas.openxmlformats.org/officeDocument/2006/relationships/worksheet" Target="/xl/worksheets/sheet2.xml" Id="R2eb1956e383c4fc1" /><Relationship Type="http://schemas.openxmlformats.org/officeDocument/2006/relationships/worksheet" Target="/xl/worksheets/sheet3.xml" Id="R7fb073d691b44990" /><Relationship Type="http://schemas.openxmlformats.org/officeDocument/2006/relationships/worksheet" Target="/xl/worksheets/sheet4.xml" Id="Ra24e19eb11f84942" /><Relationship Type="http://schemas.openxmlformats.org/officeDocument/2006/relationships/worksheet" Target="/xl/worksheets/sheet5.xml" Id="R51b34c6645ef4144" /><Relationship Type="http://schemas.openxmlformats.org/officeDocument/2006/relationships/worksheet" Target="/xl/worksheets/sheet6.xml" Id="R7197241508f04814" /><Relationship Type="http://schemas.openxmlformats.org/officeDocument/2006/relationships/worksheet" Target="/xl/worksheets/sheet7.xml" Id="R6c6f51fa552b4256" /><Relationship Type="http://schemas.openxmlformats.org/officeDocument/2006/relationships/worksheet" Target="/xl/worksheets/sheet8.xml" Id="R5c58129bf67a48ad" /><Relationship Type="http://schemas.openxmlformats.org/officeDocument/2006/relationships/worksheet" Target="/xl/worksheets/sheet9.xml" Id="R3ca9fbc3a10f4277" /><Relationship Type="http://schemas.openxmlformats.org/officeDocument/2006/relationships/worksheet" Target="/xl/worksheets/sheet10.xml" Id="R29c85763ce8f4c1e" /><Relationship Type="http://schemas.openxmlformats.org/officeDocument/2006/relationships/worksheet" Target="/xl/worksheets/sheet11.xml" Id="Rcaf4985f034b4612" /><Relationship Type="http://schemas.openxmlformats.org/officeDocument/2006/relationships/worksheet" Target="/xl/worksheets/sheet12.xml" Id="Rfd41a5db0ecc4857" /></Relationships>
</file>

<file path=xl/tables/table1.xml><?xml version="1.0" encoding="utf-8"?>
<x:table xmlns:x="http://schemas.openxmlformats.org/spreadsheetml/2006/main" id="1" name="ScenesRegister" displayName="ScenesRegister" ref="A4:N13" headerRowCount="1" totalsRowCount="0" totalsRowShown="0">
  <x:tableColumns count="14">
    <x:tableColumn id="1" name="Scene ID"/>
    <x:tableColumn id="2" name="Scene"/>
    <x:tableColumn id="3" name="Chapter"/>
    <x:tableColumn id="4" name="Source IDs"/>
    <x:tableColumn id="5" name="Anchor"/>
    <x:tableColumn id="6" name="Reference"/>
    <x:tableColumn id="7" name="Copy"/>
    <x:tableColumn id="8" name="Artwork / visuals"/>
    <x:tableColumn id="9" name="Desktop"/>
    <x:tableColumn id="10" name="Mobile"/>
    <x:tableColumn id="11" name="QA"/>
    <x:tableColumn id="12" name="Owner"/>
    <x:tableColumn id="13" name="Dependencies"/>
    <x:tableColumn id="14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acesRegister" displayName="SpacesRegister" ref="A4:P72" headerRowCount="1" totalsRowCount="0" totalsRowShown="0">
  <x:tableColumns count="16">
    <x:tableColumn id="1" name="Space ID"/>
    <x:tableColumn id="2" name="Scene ID"/>
    <x:tableColumn id="3" name="Space"/>
    <x:tableColumn id="4" name="Copy"/>
    <x:tableColumn id="5" name="Art"/>
    <x:tableColumn id="6" name="Desktop"/>
    <x:tableColumn id="7" name="Mobile"/>
    <x:tableColumn id="8" name="QA"/>
    <x:tableColumn id="9" name="Owner"/>
    <x:tableColumn id="10" name="Evidence / next action"/>
    <x:tableColumn id="11" name="Desktop placement"/>
    <x:tableColumn id="12" name="Phone placement"/>
    <x:tableColumn id="13" name="Art dependency"/>
    <x:tableColumn id="14" name="Interaction dependency"/>
    <x:tableColumn id="15" name="Copy source"/>
    <x:tableColumn id="16" name="Lay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tworkRegister" displayName="ArtworkRegister" ref="A4:Q14" headerRowCount="1" totalsRowCount="0" totalsRowShown="0">
  <x:tableColumns count="17">
    <x:tableColumn id="1" name="Art ID"/>
    <x:tableColumn id="2" name="Artwork"/>
    <x:tableColumn id="3" name="Scope"/>
    <x:tableColumn id="4" name="Status"/>
    <x:tableColumn id="5" name="Scenes"/>
    <x:tableColumn id="6" name="Reference"/>
    <x:tableColumn id="7" name="Type"/>
    <x:tableColumn id="8" name="Desktop source / crop"/>
    <x:tableColumn id="9" name="Phone source / crop"/>
    <x:tableColumn id="10" name="Text-safe zone"/>
    <x:tableColumn id="11" name="Production brief"/>
    <x:tableColumn id="12" name="Source / rights"/>
    <x:tableColumn id="13" name="Owner"/>
    <x:tableColumn id="14" name="Desktop file"/>
    <x:tableColumn id="15" name="Phone file"/>
    <x:tableColumn id="16" name="Alt / caption decision"/>
    <x:tableColumn id="17" name="Approval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dedVisualsRegister" displayName="CodedVisualsRegister" ref="A4:J13" headerRowCount="1" totalsRowCount="0" totalsRowShown="0">
  <x:tableColumns count="10">
    <x:tableColumn id="1" name="Visual ID"/>
    <x:tableColumn id="2" name="Artifact"/>
    <x:tableColumn id="3" name="Scenes"/>
    <x:tableColumn id="4" name="Status"/>
    <x:tableColumn id="5" name="Owner"/>
    <x:tableColumn id="6" name="Technology"/>
    <x:tableColumn id="7" name="Desktop rule"/>
    <x:tableColumn id="8" name="Phone / static rule"/>
    <x:tableColumn id="9" name="Interaction"/>
    <x:tableColumn id="10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teractionsRegister" displayName="InteractionsRegister" ref="A4:H15" headerRowCount="1" totalsRowCount="0" totalsRowShown="0">
  <x:tableColumns count="8">
    <x:tableColumn id="1" name="Interaction ID"/>
    <x:tableColumn id="2" name="Interaction"/>
    <x:tableColumn id="3" name="Status"/>
    <x:tableColumn id="4" name="Desktop"/>
    <x:tableColumn id="5" name="Phone"/>
    <x:tableColumn id="6" name="Reduced motion"/>
    <x:tableColumn id="7" name="Checks"/>
    <x:tableColumn id="8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Register" displayName="WorkRegister" ref="A4:I22" headerRowCount="1" totalsRowCount="0" totalsRowShown="0">
  <x:tableColumns count="9">
    <x:tableColumn id="1" name="Work ID"/>
    <x:tableColumn id="2" name="Work package"/>
    <x:tableColumn id="3" name="Status"/>
    <x:tableColumn id="4" name="Owner role"/>
    <x:tableColumn id="5" name="Dependencies"/>
    <x:tableColumn id="6" name="Scope"/>
    <x:tableColumn id="7" name="Exit evidence"/>
    <x:tableColumn id="8" name="Evidence link"/>
    <x:tableColumn id="9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pyGatesRegister" displayName="CopyGatesRegister" ref="A4:H13" headerRowCount="1" totalsRowCount="0" totalsRowShown="0">
  <x:tableColumns count="8">
    <x:tableColumn id="1" name="Gate ID"/>
    <x:tableColumn id="2" name="Topic"/>
    <x:tableColumn id="3" name="Status"/>
    <x:tableColumn id="4" name="Scenes"/>
    <x:tableColumn id="5" name="Required resolution"/>
    <x:tableColumn id="6" name="Source"/>
    <x:tableColumn id="7" name="Decision / approval"/>
    <x:tableColumn id="8" name="Ev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cisionsRegister" displayName="DecisionsRegister" ref="A4:H12" headerRowCount="1" totalsRowCount="0" totalsRowShown="0">
  <x:tableColumns count="8">
    <x:tableColumn id="1" name="Decision ID"/>
    <x:tableColumn id="2" name="Question"/>
    <x:tableColumn id="3" name="Status"/>
    <x:tableColumn id="4" name="Recommended default / hold"/>
    <x:tableColumn id="5" name="Impact"/>
    <x:tableColumn id="6" name="Owner"/>
    <x:tableColumn id="7" name="Decision"/>
    <x:tableColumn id="8" name="Date / receip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ARegister" displayName="QARegister" ref="A4:I39" headerRowCount="1" totalsRowCount="0" totalsRowShown="0">
  <x:tableColumns count="9">
    <x:tableColumn id="1" name="QA ID"/>
    <x:tableColumn id="2" name="Area"/>
    <x:tableColumn id="3" name="Status"/>
    <x:tableColumn id="4" name="Pass condition"/>
    <x:tableColumn id="5" name="Scope"/>
    <x:tableColumn id="6" name="Priority"/>
    <x:tableColumn id="7" name="Evidence link"/>
    <x:tableColumn id="8" name="Tester"/>
    <x:tableColumn id="9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sRegister" displayName="SourcesRegister" ref="A4:E14" headerRowCount="1" totalsRowCount="0" totalsRowShown="0">
  <x:tableColumns count="5">
    <x:tableColumn id="1" name="Source ID"/>
    <x:tableColumn id="2" name="Source"/>
    <x:tableColumn id="3" name="Repository path"/>
    <x:tableColumn id="4" name="Role"/>
    <x:tableColumn id="5" name="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ferencesRegister" displayName="ReferencesRegister" ref="A4:E10" headerRowCount="1" totalsRowCount="0" totalsRowShown="0">
  <x:tableColumns count="5">
    <x:tableColumn id="1" name="Reference ID"/>
    <x:tableColumn id="2" name="Mockup"/>
    <x:tableColumn id="3" name="Bundle file"/>
    <x:tableColumn id="4" name="Role / limits"/>
    <x:tableColumn id="5" name="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38c30b229748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8edb5fe29649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c2545edd934a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829923f66941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9b1652face4c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6223d7d41044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83b70ebab747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5fc80d2036453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9b51a50237c40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6af843e5dd94cf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d83345a66f54071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4" hidden="0" customWidth="1"/>
    <x:col min="10" max="10" width="14" hidden="0" customWidth="1"/>
  </x:cols>
  <x:sheetData>
    <x:row r="1" ht="36" customHeight="1">
      <x:c r="A1" s="24" t="str">
        <x:v>CURIOUSLABS / CINEMATIC CONSULTATION BUILD TRACKER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 ht="38" customHeight="1">
      <x:c r="A2" s="11" t="str">
        <x:v>v1.0 · 13 September 2026 · New design implementation only. No scene or QA has been marked completed from a mockup.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 ht="23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</x:row>
    <x:row r="4" ht="25" customHeight="1">
      <x:c r="A4" s="40" t="str">
        <x:v>SCENES</x:v>
      </x:c>
      <x:c r="B4" s="40"/>
      <x:c r="C4" s="40"/>
      <x:c r="D4" s="40" t="str">
        <x:v>TRACKED SPACES</x:v>
      </x:c>
      <x:c r="E4" s="40"/>
      <x:c r="F4" s="40"/>
      <x:c r="G4" s="40" t="str">
        <x:v>WORK PACKAGES DONE</x:v>
      </x:c>
      <x:c r="H4" s="40"/>
      <x:c r="I4" s="40"/>
      <x:c r="J4" s="40"/>
    </x:row>
    <x:row r="5" ht="23" customHeight="1">
      <x:c r="A5" s="45" t="n">
        <x:f>COUNTA(Scenes!A5:A13)</x:f>
        <x:v>9</x:v>
      </x:c>
      <x:c r="B5" s="45"/>
      <x:c r="C5" s="45"/>
      <x:c r="D5" s="45" t="n">
        <x:f>COUNTA(Spaces!A5:A72)</x:f>
        <x:v>68</x:v>
      </x:c>
      <x:c r="E5" s="45"/>
      <x:c r="F5" s="45"/>
      <x:c r="G5" s="45" t="str">
        <x:f>COUNTIF(Work!C5:C22,"Done")&amp;" / "&amp;COUNTA(Work!A5:A22)</x:f>
        <x:v>0 / 18</x:v>
      </x:c>
      <x:c r="H5" s="45"/>
      <x:c r="I5" s="45"/>
      <x:c r="J5" s="45"/>
    </x:row>
    <x:row r="6" ht="23" customHeight="1">
      <x:c r="A6" s="45"/>
      <x:c r="B6" s="45"/>
      <x:c r="C6" s="45"/>
      <x:c r="D6" s="45"/>
      <x:c r="E6" s="45"/>
      <x:c r="F6" s="45"/>
      <x:c r="G6" s="45"/>
      <x:c r="H6" s="45"/>
      <x:c r="I6" s="45"/>
      <x:c r="J6" s="45"/>
    </x:row>
    <x:row r="7" ht="23" customHeight="1">
      <x:c r="A7" s="32"/>
      <x:c r="B7" s="32"/>
      <x:c r="C7" s="32"/>
      <x:c r="D7" s="32"/>
      <x:c r="E7" s="32"/>
      <x:c r="F7" s="32"/>
      <x:c r="G7" s="32"/>
      <x:c r="H7" s="32"/>
      <x:c r="I7" s="32"/>
      <x:c r="J7" s="32"/>
    </x:row>
    <x:row r="8" ht="25" customHeight="1">
      <x:c r="A8" s="40" t="str">
        <x:v>CORE ART APPROVED</x:v>
      </x:c>
      <x:c r="B8" s="40"/>
      <x:c r="C8" s="40"/>
      <x:c r="D8" s="40" t="str">
        <x:v>DESKTOP SCENES APPROVED</x:v>
      </x:c>
      <x:c r="E8" s="40"/>
      <x:c r="F8" s="40"/>
      <x:c r="G8" s="40" t="str">
        <x:v>PHONE SCENES APPROVED</x:v>
      </x:c>
      <x:c r="H8" s="40"/>
      <x:c r="I8" s="40"/>
      <x:c r="J8" s="40"/>
    </x:row>
    <x:row r="9" ht="23" customHeight="1">
      <x:c r="A9" s="45" t="str">
        <x:f>COUNTIFS(Artwork!C5:C14,"Core",Artwork!D5:D14,"Approved")&amp;" / "&amp;COUNTIF(Artwork!C5:C14,"Core")</x:f>
        <x:v>0 / 5</x:v>
      </x:c>
      <x:c r="B9" s="45"/>
      <x:c r="C9" s="45"/>
      <x:c r="D9" s="45" t="str">
        <x:f>COUNTIF(Scenes!I5:I13,"Approved")&amp;" / "&amp;COUNTA(Scenes!A5:A13)</x:f>
        <x:v>0 / 9</x:v>
      </x:c>
      <x:c r="E9" s="45"/>
      <x:c r="F9" s="45"/>
      <x:c r="G9" s="45" t="str">
        <x:f>COUNTIF(Scenes!J5:J13,"Approved")&amp;" / "&amp;COUNTA(Scenes!A5:A13)</x:f>
        <x:v>0 / 9</x:v>
      </x:c>
      <x:c r="H9" s="45"/>
      <x:c r="I9" s="45"/>
      <x:c r="J9" s="45"/>
    </x:row>
    <x:row r="10" ht="23" customHeight="1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</x:row>
    <x:row r="11" ht="23" customHeight="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</x:row>
    <x:row r="12" ht="30" customHeight="1">
      <x:c r="A12" s="24" t="str">
        <x:v>SCENE GATES  /  Copy → artwork → desktop → phone → tested evidence → owner approval</x:v>
      </x:c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 ht="23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 ht="28" customHeight="1">
      <x:c r="A14" s="39" t="str">
        <x:v>Scene ID</x:v>
      </x:c>
      <x:c r="B14" s="39" t="str">
        <x:v>Scene</x:v>
      </x:c>
      <x:c r="C14" s="39" t="str">
        <x:v>Copy</x:v>
      </x:c>
      <x:c r="D14" s="39" t="str">
        <x:v>Art</x:v>
      </x:c>
      <x:c r="E14" s="39" t="str">
        <x:v>Desktop</x:v>
      </x:c>
      <x:c r="F14" s="39" t="str">
        <x:v>Mobile</x:v>
      </x:c>
      <x:c r="G14" s="39" t="str">
        <x:v>QA</x:v>
      </x:c>
      <x:c r="H14" s="39" t="str">
        <x:v>Owner</x:v>
      </x:c>
      <x:c r="I14" s="39" t="str">
        <x:v>QA PASSED</x:v>
      </x:c>
      <x:c r="J14" s="39"/>
    </x:row>
    <x:row r="15" ht="34" customHeight="1">
      <x:c r="A15" s="32" t="str">
        <x:f>Scenes!A5</x:f>
        <x:v>SC-01</x:v>
      </x:c>
      <x:c r="B15" s="32" t="str">
        <x:f>Scenes!B5</x:f>
        <x:v>Earth hero</x:v>
      </x:c>
      <x:c r="C15" s="32" t="str">
        <x:f>Scenes!G5</x:f>
        <x:v>For review</x:v>
      </x:c>
      <x:c r="D15" s="32" t="str">
        <x:f>Scenes!H5</x:f>
        <x:v>Not started</x:v>
      </x:c>
      <x:c r="E15" s="32" t="str">
        <x:f>Scenes!I5</x:f>
        <x:v>Not started</x:v>
      </x:c>
      <x:c r="F15" s="32" t="str">
        <x:f>Scenes!J5</x:f>
        <x:v>Not started</x:v>
      </x:c>
      <x:c r="G15" s="32" t="str">
        <x:f>Scenes!K5</x:f>
        <x:v>Not tested</x:v>
      </x:c>
      <x:c r="H15" s="32" t="str">
        <x:f>Scenes!L5</x:f>
        <x:v>Unassigned</x:v>
      </x:c>
      <x:c r="I15" s="32" t="str">
        <x:f>COUNTIF(QA!C5:C39,"Pass")&amp;" / "&amp;COUNTA(QA!A5:A39)</x:f>
        <x:v>0 / 35</x:v>
      </x:c>
      <x:c r="J15" s="32"/>
    </x:row>
    <x:row r="16" ht="34" customHeight="1">
      <x:c r="A16" s="32" t="str">
        <x:f>Scenes!A6</x:f>
        <x:v>SC-02</x:v>
      </x:c>
      <x:c r="B16" s="32" t="str">
        <x:f>Scenes!B6</x:f>
        <x:v>Two audience doors</x:v>
      </x:c>
      <x:c r="C16" s="32" t="str">
        <x:f>Scenes!G6</x:f>
        <x:v>For review</x:v>
      </x:c>
      <x:c r="D16" s="32" t="str">
        <x:f>Scenes!H6</x:f>
        <x:v>Not started</x:v>
      </x:c>
      <x:c r="E16" s="32" t="str">
        <x:f>Scenes!I6</x:f>
        <x:v>Not started</x:v>
      </x:c>
      <x:c r="F16" s="32" t="str">
        <x:f>Scenes!J6</x:f>
        <x:v>Not started</x:v>
      </x:c>
      <x:c r="G16" s="32" t="str">
        <x:f>Scenes!K6</x:f>
        <x:v>Not tested</x:v>
      </x:c>
      <x:c r="H16" s="32" t="str">
        <x:f>Scenes!L6</x:f>
        <x:v>Unassigned</x:v>
      </x:c>
      <x:c r="I16" s="32"/>
      <x:c r="J16" s="32"/>
    </x:row>
    <x:row r="17" ht="34" customHeight="1">
      <x:c r="A17" s="32" t="str">
        <x:f>Scenes!A7</x:f>
        <x:v>SC-03</x:v>
      </x:c>
      <x:c r="B17" s="32" t="str">
        <x:f>Scenes!B7</x:f>
        <x:v>The three walls</x:v>
      </x:c>
      <x:c r="C17" s="32" t="str">
        <x:f>Scenes!G7</x:f>
        <x:v>For review</x:v>
      </x:c>
      <x:c r="D17" s="32" t="str">
        <x:f>Scenes!H7</x:f>
        <x:v>Not started</x:v>
      </x:c>
      <x:c r="E17" s="32" t="str">
        <x:f>Scenes!I7</x:f>
        <x:v>Not started</x:v>
      </x:c>
      <x:c r="F17" s="32" t="str">
        <x:f>Scenes!J7</x:f>
        <x:v>Not started</x:v>
      </x:c>
      <x:c r="G17" s="32" t="str">
        <x:f>Scenes!K7</x:f>
        <x:v>Not tested</x:v>
      </x:c>
      <x:c r="H17" s="32" t="str">
        <x:f>Scenes!L7</x:f>
        <x:v>Unassigned</x:v>
      </x:c>
      <x:c r="I17" s="32"/>
      <x:c r="J17" s="32"/>
    </x:row>
    <x:row r="18" ht="34" customHeight="1">
      <x:c r="A18" s="32" t="str">
        <x:f>Scenes!A8</x:f>
        <x:v>SC-04</x:v>
      </x:c>
      <x:c r="B18" s="32" t="str">
        <x:f>Scenes!B8</x:f>
        <x:v>What I actually do</x:v>
      </x:c>
      <x:c r="C18" s="32" t="str">
        <x:f>Scenes!G8</x:f>
        <x:v>For review</x:v>
      </x:c>
      <x:c r="D18" s="32" t="str">
        <x:f>Scenes!H8</x:f>
        <x:v>Not started</x:v>
      </x:c>
      <x:c r="E18" s="32" t="str">
        <x:f>Scenes!I8</x:f>
        <x:v>Not started</x:v>
      </x:c>
      <x:c r="F18" s="32" t="str">
        <x:f>Scenes!J8</x:f>
        <x:v>Not started</x:v>
      </x:c>
      <x:c r="G18" s="32" t="str">
        <x:f>Scenes!K8</x:f>
        <x:v>Not tested</x:v>
      </x:c>
      <x:c r="H18" s="32" t="str">
        <x:f>Scenes!L8</x:f>
        <x:v>Unassigned</x:v>
      </x:c>
      <x:c r="I18" s="39" t="str">
        <x:v>WORK COMPLETE</x:v>
      </x:c>
      <x:c r="J18" s="39"/>
    </x:row>
    <x:row r="19" ht="34" customHeight="1">
      <x:c r="A19" s="32" t="str">
        <x:f>Scenes!A9</x:f>
        <x:v>SC-05</x:v>
      </x:c>
      <x:c r="B19" s="32" t="str">
        <x:f>Scenes!B9</x:f>
        <x:v>The person and this market</x:v>
      </x:c>
      <x:c r="C19" s="32" t="str">
        <x:f>Scenes!G9</x:f>
        <x:v>For review</x:v>
      </x:c>
      <x:c r="D19" s="32" t="str">
        <x:f>Scenes!H9</x:f>
        <x:v>Not started</x:v>
      </x:c>
      <x:c r="E19" s="32" t="str">
        <x:f>Scenes!I9</x:f>
        <x:v>Not started</x:v>
      </x:c>
      <x:c r="F19" s="32" t="str">
        <x:f>Scenes!J9</x:f>
        <x:v>Not started</x:v>
      </x:c>
      <x:c r="G19" s="32" t="str">
        <x:f>Scenes!K9</x:f>
        <x:v>Not tested</x:v>
      </x:c>
      <x:c r="H19" s="32" t="str">
        <x:f>Scenes!L9</x:f>
        <x:v>Unassigned</x:v>
      </x:c>
      <x:c r="I19" s="51" t="n">
        <x:f>IFERROR(COUNTIF(Work!C5:C22,"Done")/COUNTA(Work!A5:A22),0)</x:f>
        <x:v>0</x:v>
      </x:c>
      <x:c r="J19" s="44"/>
    </x:row>
    <x:row r="20" ht="34" customHeight="1">
      <x:c r="A20" s="32" t="str">
        <x:f>Scenes!A10</x:f>
        <x:v>SC-06</x:v>
      </x:c>
      <x:c r="B20" s="32" t="str">
        <x:f>Scenes!B10</x:f>
        <x:v>Approach and deeper readings</x:v>
      </x:c>
      <x:c r="C20" s="32" t="str">
        <x:f>Scenes!G10</x:f>
        <x:v>For review</x:v>
      </x:c>
      <x:c r="D20" s="32" t="str">
        <x:f>Scenes!H10</x:f>
        <x:v>Not started</x:v>
      </x:c>
      <x:c r="E20" s="32" t="str">
        <x:f>Scenes!I10</x:f>
        <x:v>Not started</x:v>
      </x:c>
      <x:c r="F20" s="32" t="str">
        <x:f>Scenes!J10</x:f>
        <x:v>Not started</x:v>
      </x:c>
      <x:c r="G20" s="32" t="str">
        <x:f>Scenes!K10</x:f>
        <x:v>Not tested</x:v>
      </x:c>
      <x:c r="H20" s="32" t="str">
        <x:f>Scenes!L10</x:f>
        <x:v>Unassigned</x:v>
      </x:c>
      <x:c r="I20" s="44"/>
      <x:c r="J20" s="44"/>
    </x:row>
    <x:row r="21" ht="34" customHeight="1">
      <x:c r="A21" s="32" t="str">
        <x:f>Scenes!A11</x:f>
        <x:v>SC-07</x:v>
      </x:c>
      <x:c r="B21" s="32" t="str">
        <x:f>Scenes!B11</x:f>
        <x:v>From conversation to agreed work</x:v>
      </x:c>
      <x:c r="C21" s="32" t="str">
        <x:f>Scenes!G11</x:f>
        <x:v>For review</x:v>
      </x:c>
      <x:c r="D21" s="32" t="str">
        <x:f>Scenes!H11</x:f>
        <x:v>Not started</x:v>
      </x:c>
      <x:c r="E21" s="32" t="str">
        <x:f>Scenes!I11</x:f>
        <x:v>Not started</x:v>
      </x:c>
      <x:c r="F21" s="32" t="str">
        <x:f>Scenes!J11</x:f>
        <x:v>Not started</x:v>
      </x:c>
      <x:c r="G21" s="32" t="str">
        <x:f>Scenes!K11</x:f>
        <x:v>Not tested</x:v>
      </x:c>
      <x:c r="H21" s="32" t="str">
        <x:f>Scenes!L11</x:f>
        <x:v>Unassigned</x:v>
      </x:c>
      <x:c r="I21" s="32"/>
      <x:c r="J21" s="32"/>
    </x:row>
    <x:row r="22" ht="34" customHeight="1">
      <x:c r="A22" s="32" t="str">
        <x:f>Scenes!A12</x:f>
        <x:v>SC-08</x:v>
      </x:c>
      <x:c r="B22" s="32" t="str">
        <x:f>Scenes!B12</x:f>
        <x:v>Questions before the conversation</x:v>
      </x:c>
      <x:c r="C22" s="32" t="str">
        <x:f>Scenes!G12</x:f>
        <x:v>For review</x:v>
      </x:c>
      <x:c r="D22" s="32" t="str">
        <x:f>Scenes!H12</x:f>
        <x:v>Not started</x:v>
      </x:c>
      <x:c r="E22" s="32" t="str">
        <x:f>Scenes!I12</x:f>
        <x:v>Not started</x:v>
      </x:c>
      <x:c r="F22" s="32" t="str">
        <x:f>Scenes!J12</x:f>
        <x:v>Not started</x:v>
      </x:c>
      <x:c r="G22" s="32" t="str">
        <x:f>Scenes!K12</x:f>
        <x:v>Not tested</x:v>
      </x:c>
      <x:c r="H22" s="32" t="str">
        <x:f>Scenes!L12</x:f>
        <x:v>Unassigned</x:v>
      </x:c>
      <x:c r="I22" s="32"/>
      <x:c r="J22" s="32"/>
    </x:row>
    <x:row r="23" ht="34" customHeight="1">
      <x:c r="A23" s="32" t="str">
        <x:f>Scenes!A13</x:f>
        <x:v>SC-09</x:v>
      </x:c>
      <x:c r="B23" s="32" t="str">
        <x:f>Scenes!B13</x:f>
        <x:v>Final horizon and contact</x:v>
      </x:c>
      <x:c r="C23" s="32" t="str">
        <x:f>Scenes!G13</x:f>
        <x:v>For review</x:v>
      </x:c>
      <x:c r="D23" s="32" t="str">
        <x:f>Scenes!H13</x:f>
        <x:v>Not started</x:v>
      </x:c>
      <x:c r="E23" s="32" t="str">
        <x:f>Scenes!I13</x:f>
        <x:v>Not started</x:v>
      </x:c>
      <x:c r="F23" s="32" t="str">
        <x:f>Scenes!J13</x:f>
        <x:v>Not started</x:v>
      </x:c>
      <x:c r="G23" s="32" t="str">
        <x:f>Scenes!K13</x:f>
        <x:v>Not tested</x:v>
      </x:c>
      <x:c r="H23" s="32" t="str">
        <x:f>Scenes!L13</x:f>
        <x:v>Unassigned</x:v>
      </x:c>
      <x:c r="I23" s="32"/>
      <x:c r="J23" s="32"/>
    </x:row>
    <x:row r="24" ht="23" customHeight="1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</x:row>
    <x:row r="25" ht="28" customHeight="1">
      <x:c r="A25" s="24" t="str">
        <x:v>FIRST REVIEW / TWO DOORS + THREE WALLS</x:v>
      </x:c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 ht="23" customHeight="1">
      <x:c r="A26" s="36" t="str">
        <x:v>Approve the scene map and mobile transformations. Prepare ART-01–04, then review the two-door / three-wall vertical slice before repeating its patterns. Copy remains in COPY_DECK_v2. Contact destinations are still a launch hold.</x:v>
      </x:c>
      <x:c r="B26" s="36"/>
      <x:c r="C26" s="36"/>
      <x:c r="D26" s="36"/>
      <x:c r="E26" s="36"/>
      <x:c r="F26" s="36"/>
      <x:c r="G26" s="36"/>
      <x:c r="H26" s="36"/>
      <x:c r="I26" s="36"/>
      <x:c r="J26" s="36"/>
    </x:row>
    <x:row r="27" ht="23" customHeight="1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</x:row>
    <x:row r="28" ht="23" customHeight="1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</x:row>
    <x:row r="29" ht="32" customHeight="1">
      <x:c r="A29" s="54" t="str">
        <x:v>SOURCE CUT  /  TomaDev23/curious-labs-production · main a49e6324c385bad24cf64d5314db241a67c6621e</x:v>
      </x:c>
      <x:c r="B29" s="54"/>
      <x:c r="C29" s="54"/>
      <x:c r="D29" s="54"/>
      <x:c r="E29" s="54"/>
      <x:c r="F29" s="54"/>
      <x:c r="G29" s="54"/>
      <x:c r="H29" s="54"/>
      <x:c r="I29" s="54"/>
      <x:c r="J29" s="54"/>
    </x:row>
    <x:row r="30" ht="23" customHeight="1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</x:row>
    <x:row r="31" ht="23" customHeight="1">
      <x:c r="A31" s="56" t="str">
        <x:v>Blue fields are editable status/ownership inputs. Approval of the pictures is not artwork approval or completed code. The document carries the design contract; this workbook carries live progress. Nothing was committed, pushed or deployed.</x:v>
      </x:c>
      <x:c r="B31" s="56"/>
      <x:c r="C31" s="56"/>
      <x:c r="D31" s="56"/>
      <x:c r="E31" s="56"/>
      <x:c r="F31" s="56"/>
      <x:c r="G31" s="56"/>
      <x:c r="H31" s="56"/>
      <x:c r="I31" s="56"/>
      <x:c r="J31" s="56"/>
    </x:row>
    <x:row r="32" ht="23" customHeight="1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</x:row>
    <x:row r="33" ht="23" customHeight="1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</x:row>
    <x:row r="34" ht="23" customHeight="1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</x:row>
  </x:sheetData>
  <x:mergeCells>
    <x:mergeCell ref="A1:J1"/>
    <x:mergeCell ref="A2:J2"/>
    <x:mergeCell ref="A4:C4"/>
    <x:mergeCell ref="A5:C6"/>
    <x:mergeCell ref="D4:F4"/>
    <x:mergeCell ref="D5:F6"/>
    <x:mergeCell ref="G4:J4"/>
    <x:mergeCell ref="G5:J6"/>
    <x:mergeCell ref="A8:C8"/>
    <x:mergeCell ref="A9:C10"/>
    <x:mergeCell ref="D8:F8"/>
    <x:mergeCell ref="D9:F10"/>
    <x:mergeCell ref="G8:J8"/>
    <x:mergeCell ref="G9:J10"/>
    <x:mergeCell ref="A12:J12"/>
    <x:mergeCell ref="I14:J14"/>
    <x:mergeCell ref="I15:J16"/>
    <x:mergeCell ref="I18:J18"/>
    <x:mergeCell ref="I19:J20"/>
    <x:mergeCell ref="A25:J25"/>
    <x:mergeCell ref="A26:J27"/>
    <x:mergeCell ref="A29:J29"/>
    <x:mergeCell ref="A31:J32"/>
  </x:mergeCells>
  <x:conditionalFormatting sqref="C15:C23">
    <x:cfRule type="expression" dxfId="153" priority="1">
      <x:formula>C15="Approved"</x:formula>
    </x:cfRule>
    <x:cfRule type="expression" dxfId="154" priority="2">
      <x:formula>C15="Pass"</x:formula>
    </x:cfRule>
    <x:cfRule type="expression" dxfId="155" priority="3">
      <x:formula>C15="For review"</x:formula>
    </x:cfRule>
    <x:cfRule type="expression" dxfId="156" priority="4">
      <x:formula>C15="Blocked"</x:formula>
    </x:cfRule>
  </x:conditionalFormatting>
  <x:conditionalFormatting sqref="D15:D23">
    <x:cfRule type="expression" dxfId="157" priority="5">
      <x:formula>D15="Approved"</x:formula>
    </x:cfRule>
    <x:cfRule type="expression" dxfId="158" priority="6">
      <x:formula>D15="Pass"</x:formula>
    </x:cfRule>
    <x:cfRule type="expression" dxfId="159" priority="7">
      <x:formula>D15="For review"</x:formula>
    </x:cfRule>
    <x:cfRule type="expression" dxfId="160" priority="8">
      <x:formula>D15="Blocked"</x:formula>
    </x:cfRule>
  </x:conditionalFormatting>
  <x:conditionalFormatting sqref="E15:E23">
    <x:cfRule type="expression" dxfId="161" priority="9">
      <x:formula>E15="Approved"</x:formula>
    </x:cfRule>
    <x:cfRule type="expression" dxfId="162" priority="10">
      <x:formula>E15="Pass"</x:formula>
    </x:cfRule>
    <x:cfRule type="expression" dxfId="163" priority="11">
      <x:formula>E15="For review"</x:formula>
    </x:cfRule>
    <x:cfRule type="expression" dxfId="164" priority="12">
      <x:formula>E15="Blocked"</x:formula>
    </x:cfRule>
  </x:conditionalFormatting>
  <x:conditionalFormatting sqref="F15:F23">
    <x:cfRule type="expression" dxfId="165" priority="13">
      <x:formula>F15="Approved"</x:formula>
    </x:cfRule>
    <x:cfRule type="expression" dxfId="166" priority="14">
      <x:formula>F15="Pass"</x:formula>
    </x:cfRule>
    <x:cfRule type="expression" dxfId="167" priority="15">
      <x:formula>F15="For review"</x:formula>
    </x:cfRule>
    <x:cfRule type="expression" dxfId="168" priority="16">
      <x:formula>F15="Blocked"</x:formula>
    </x:cfRule>
  </x:conditionalFormatting>
  <x:conditionalFormatting sqref="G15:G23">
    <x:cfRule type="expression" dxfId="169" priority="17">
      <x:formula>G15="Approved"</x:formula>
    </x:cfRule>
    <x:cfRule type="expression" dxfId="170" priority="18">
      <x:formula>G15="Pass"</x:formula>
    </x:cfRule>
    <x:cfRule type="expression" dxfId="171" priority="19">
      <x:formula>G15="For review"</x:formula>
    </x:cfRule>
    <x:cfRule type="expression" dxfId="172" priority="20">
      <x:formula>G15="Blocked"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23" hidden="0" customWidth="1"/>
    <x:col min="4" max="4" width="17" hidden="0" customWidth="1"/>
    <x:col min="5" max="5" width="19" hidden="0" customWidth="1"/>
    <x:col min="6" max="6" width="13" hidden="0" customWidth="1"/>
    <x:col min="7" max="7" width="17" hidden="0" customWidth="1"/>
    <x:col min="8" max="8" width="19" hidden="0" customWidth="1"/>
    <x:col min="9" max="9" width="17" hidden="0" customWidth="1"/>
    <x:col min="10" max="10" width="17" hidden="0" customWidth="1"/>
    <x:col min="11" max="11" width="17" hidden="0" customWidth="1"/>
    <x:col min="12" max="12" width="20" hidden="0" customWidth="1"/>
    <x:col min="13" max="13" width="38" hidden="0" customWidth="1"/>
    <x:col min="14" max="14" width="38" hidden="0" customWidth="1"/>
  </x:cols>
  <x:sheetData>
    <x:row r="1" ht="30" customHeight="1">
      <x:c r="A1" s="4" t="str">
        <x:v>SCENES  /  CURIOUSLABS CINEMATIC BUILD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11" t="str">
        <x:v>Scene-level status is not inferred from visual approval. Approve desktop and mobile separately; attach implementation evidence.</x:v>
      </x:c>
      <x:c r="B2" s="11"/>
      <x:c r="C2" s="11"/>
      <x:c r="D2" s="11"/>
      <x:c r="E2" s="11"/>
      <x:c r="F2" s="11"/>
      <x:c r="G2" s="11"/>
      <x:c r="H2" s="11"/>
      <x:c r="I2" s="11"/>
    </x:row>
    <x:row r="4" ht="32" customHeight="1">
      <x:c r="A4" s="24" t="str">
        <x:v>Scene ID</x:v>
      </x:c>
      <x:c r="B4" s="24" t="str">
        <x:v>Scene</x:v>
      </x:c>
      <x:c r="C4" s="24" t="str">
        <x:v>Chapter</x:v>
      </x:c>
      <x:c r="D4" s="24" t="str">
        <x:v>Source IDs</x:v>
      </x:c>
      <x:c r="E4" s="24" t="str">
        <x:v>Anchor</x:v>
      </x:c>
      <x:c r="F4" s="24" t="str">
        <x:v>Reference</x:v>
      </x:c>
      <x:c r="G4" s="24" t="str">
        <x:v>Copy</x:v>
      </x:c>
      <x:c r="H4" s="24" t="str">
        <x:v>Artwork / visuals</x:v>
      </x:c>
      <x:c r="I4" s="24" t="str">
        <x:v>Desktop</x:v>
      </x:c>
      <x:c r="J4" s="24" t="str">
        <x:v>Mobile</x:v>
      </x:c>
      <x:c r="K4" s="24" t="str">
        <x:v>QA</x:v>
      </x:c>
      <x:c r="L4" s="24" t="str">
        <x:v>Owner</x:v>
      </x:c>
      <x:c r="M4" s="24" t="str">
        <x:v>Dependencies</x:v>
      </x:c>
      <x:c r="N4" s="24" t="str">
        <x:v>Evidence</x:v>
      </x:c>
    </x:row>
    <x:row r="5" ht="62" customHeight="1">
      <x:c r="A5" s="28" t="str">
        <x:v>SC-01</x:v>
      </x:c>
      <x:c r="B5" s="18" t="str">
        <x:v>Earth hero</x:v>
      </x:c>
      <x:c r="C5" s="18" t="str">
        <x:v>Opening</x:v>
      </x:c>
      <x:c r="D5" s="18" t="str">
        <x:v>D1</x:v>
      </x:c>
      <x:c r="E5" s="18" t="str">
        <x:v>#overview</x:v>
      </x:c>
      <x:c r="F5" s="18" t="str">
        <x:v>REF-00</x:v>
      </x:c>
      <x:c r="G5" s="30" t="str">
        <x:v>For review</x:v>
      </x:c>
      <x:c r="H5" s="30" t="str">
        <x:v>Not started</x:v>
      </x:c>
      <x:c r="I5" s="30" t="str">
        <x:v>Not started</x:v>
      </x:c>
      <x:c r="J5" s="30" t="str">
        <x:v>Not started</x:v>
      </x:c>
      <x:c r="K5" s="30" t="str">
        <x:v>Not tested</x:v>
      </x:c>
      <x:c r="L5" s="18" t="str">
        <x:v>Unassigned</x:v>
      </x:c>
      <x:c r="M5" s="18" t="str">
        <x:v>ART-01, VIS-08</x:v>
      </x:c>
      <x:c r="N5" s="18" t="str"/>
    </x:row>
    <x:row r="6" ht="62" customHeight="1">
      <x:c r="A6" s="28" t="str">
        <x:v>SC-02</x:v>
      </x:c>
      <x:c r="B6" s="18" t="str">
        <x:v>Two audience doors</x:v>
      </x:c>
      <x:c r="C6" s="18" t="str">
        <x:v>Scroll 1 · entry</x:v>
      </x:c>
      <x:c r="D6" s="18" t="str">
        <x:v>D2 · first half</x:v>
      </x:c>
      <x:c r="E6" s="18" t="str">
        <x:v>#audiences</x:v>
      </x:c>
      <x:c r="F6" s="18" t="str">
        <x:v>REF-01</x:v>
      </x:c>
      <x:c r="G6" s="30" t="str">
        <x:v>For review</x:v>
      </x:c>
      <x:c r="H6" s="30" t="str">
        <x:v>Not started</x:v>
      </x:c>
      <x:c r="I6" s="30" t="str">
        <x:v>Not started</x:v>
      </x:c>
      <x:c r="J6" s="30" t="str">
        <x:v>Not started</x:v>
      </x:c>
      <x:c r="K6" s="30" t="str">
        <x:v>Not tested</x:v>
      </x:c>
      <x:c r="L6" s="18" t="str">
        <x:v>Unassigned</x:v>
      </x:c>
      <x:c r="M6" s="18" t="str">
        <x:v>ART-02, ART-03, VIS-01, VIS-08</x:v>
      </x:c>
      <x:c r="N6" s="18" t="str"/>
    </x:row>
    <x:row r="7" ht="62" customHeight="1">
      <x:c r="A7" s="28" t="str">
        <x:v>SC-03</x:v>
      </x:c>
      <x:c r="B7" s="18" t="str">
        <x:v>The three walls</x:v>
      </x:c>
      <x:c r="C7" s="18" t="str">
        <x:v>Scroll 1 · difficulty</x:v>
      </x:c>
      <x:c r="D7" s="18" t="str">
        <x:v>D2 · second half</x:v>
      </x:c>
      <x:c r="E7" s="18" t="str">
        <x:v>#audiences (subregion)</x:v>
      </x:c>
      <x:c r="F7" s="18" t="str">
        <x:v>REF-01</x:v>
      </x:c>
      <x:c r="G7" s="30" t="str">
        <x:v>For review</x:v>
      </x:c>
      <x:c r="H7" s="30" t="str">
        <x:v>Not started</x:v>
      </x:c>
      <x:c r="I7" s="30" t="str">
        <x:v>Not started</x:v>
      </x:c>
      <x:c r="J7" s="30" t="str">
        <x:v>Not started</x:v>
      </x:c>
      <x:c r="K7" s="30" t="str">
        <x:v>Not tested</x:v>
      </x:c>
      <x:c r="L7" s="18" t="str">
        <x:v>Unassigned</x:v>
      </x:c>
      <x:c r="M7" s="18" t="str">
        <x:v>ART-04, VIS-02</x:v>
      </x:c>
      <x:c r="N7" s="18" t="str"/>
    </x:row>
    <x:row r="8" ht="62" customHeight="1">
      <x:c r="A8" s="28" t="str">
        <x:v>SC-04</x:v>
      </x:c>
      <x:c r="B8" s="18" t="str">
        <x:v>What I actually do</x:v>
      </x:c>
      <x:c r="C8" s="18" t="str">
        <x:v>Scroll 2</x:v>
      </x:c>
      <x:c r="D8" s="18" t="str">
        <x:v>D3</x:v>
      </x:c>
      <x:c r="E8" s="18" t="str">
        <x:v>#contribution</x:v>
      </x:c>
      <x:c r="F8" s="18" t="str">
        <x:v>REF-02</x:v>
      </x:c>
      <x:c r="G8" s="30" t="str">
        <x:v>For review</x:v>
      </x:c>
      <x:c r="H8" s="30" t="str">
        <x:v>Not started</x:v>
      </x:c>
      <x:c r="I8" s="30" t="str">
        <x:v>Not started</x:v>
      </x:c>
      <x:c r="J8" s="30" t="str">
        <x:v>Not started</x:v>
      </x:c>
      <x:c r="K8" s="30" t="str">
        <x:v>Not tested</x:v>
      </x:c>
      <x:c r="L8" s="18" t="str">
        <x:v>Unassigned</x:v>
      </x:c>
      <x:c r="M8" s="18" t="str">
        <x:v>VIS-03, VIS-08</x:v>
      </x:c>
      <x:c r="N8" s="18" t="str"/>
    </x:row>
    <x:row r="9" ht="62" customHeight="1">
      <x:c r="A9" s="28" t="str">
        <x:v>SC-05</x:v>
      </x:c>
      <x:c r="B9" s="18" t="str">
        <x:v>The person and this market</x:v>
      </x:c>
      <x:c r="C9" s="18" t="str">
        <x:v>Scroll 3</x:v>
      </x:c>
      <x:c r="D9" s="18" t="str">
        <x:v>D4</x:v>
      </x:c>
      <x:c r="E9" s="18" t="str">
        <x:v>#person</x:v>
      </x:c>
      <x:c r="F9" s="18" t="str">
        <x:v>REF-03</x:v>
      </x:c>
      <x:c r="G9" s="30" t="str">
        <x:v>For review</x:v>
      </x:c>
      <x:c r="H9" s="30" t="str">
        <x:v>Not started</x:v>
      </x:c>
      <x:c r="I9" s="30" t="str">
        <x:v>Not started</x:v>
      </x:c>
      <x:c r="J9" s="30" t="str">
        <x:v>Not started</x:v>
      </x:c>
      <x:c r="K9" s="30" t="str">
        <x:v>Not tested</x:v>
      </x:c>
      <x:c r="L9" s="18" t="str">
        <x:v>Unassigned</x:v>
      </x:c>
      <x:c r="M9" s="18" t="str">
        <x:v>ART-05, ART-09 (held), ART-10 (held), VIS-08</x:v>
      </x:c>
      <x:c r="N9" s="18" t="str"/>
    </x:row>
    <x:row r="10" ht="62" customHeight="1">
      <x:c r="A10" s="28" t="str">
        <x:v>SC-06</x:v>
      </x:c>
      <x:c r="B10" s="18" t="str">
        <x:v>Approach and deeper readings</x:v>
      </x:c>
      <x:c r="C10" s="18" t="str">
        <x:v>Scroll 4</x:v>
      </x:c>
      <x:c r="D10" s="18" t="str">
        <x:v>D5 + R1–R4</x:v>
      </x:c>
      <x:c r="E10" s="18" t="str">
        <x:v>#approach</x:v>
      </x:c>
      <x:c r="F10" s="18" t="str">
        <x:v>REF-04</x:v>
      </x:c>
      <x:c r="G10" s="30" t="str">
        <x:v>For review</x:v>
      </x:c>
      <x:c r="H10" s="30" t="str">
        <x:v>Not started</x:v>
      </x:c>
      <x:c r="I10" s="30" t="str">
        <x:v>Not started</x:v>
      </x:c>
      <x:c r="J10" s="30" t="str">
        <x:v>Not started</x:v>
      </x:c>
      <x:c r="K10" s="30" t="str">
        <x:v>Not tested</x:v>
      </x:c>
      <x:c r="L10" s="18" t="str">
        <x:v>Unassigned</x:v>
      </x:c>
      <x:c r="M10" s="18" t="str">
        <x:v>ART-06, ART-07, ART-08, ART-05 (reuse), VIS-04, VIS-05, VIS-07</x:v>
      </x:c>
      <x:c r="N10" s="18" t="str"/>
    </x:row>
    <x:row r="11" ht="62" customHeight="1">
      <x:c r="A11" s="28" t="str">
        <x:v>SC-07</x:v>
      </x:c>
      <x:c r="B11" s="18" t="str">
        <x:v>From conversation to agreed work</x:v>
      </x:c>
      <x:c r="C11" s="18" t="str">
        <x:v>Scroll 5 · process</x:v>
      </x:c>
      <x:c r="D11" s="18" t="str">
        <x:v>D7</x:v>
      </x:c>
      <x:c r="E11" s="18" t="str">
        <x:v>#engagement</x:v>
      </x:c>
      <x:c r="F11" s="18" t="str">
        <x:v>REF-05</x:v>
      </x:c>
      <x:c r="G11" s="30" t="str">
        <x:v>For review</x:v>
      </x:c>
      <x:c r="H11" s="30" t="str">
        <x:v>Not started</x:v>
      </x:c>
      <x:c r="I11" s="30" t="str">
        <x:v>Not started</x:v>
      </x:c>
      <x:c r="J11" s="30" t="str">
        <x:v>Not started</x:v>
      </x:c>
      <x:c r="K11" s="30" t="str">
        <x:v>Not tested</x:v>
      </x:c>
      <x:c r="L11" s="18" t="str">
        <x:v>Unassigned</x:v>
      </x:c>
      <x:c r="M11" s="18" t="str">
        <x:v>VIS-06</x:v>
      </x:c>
      <x:c r="N11" s="18" t="str"/>
    </x:row>
    <x:row r="12" ht="62" customHeight="1">
      <x:c r="A12" s="28" t="str">
        <x:v>SC-08</x:v>
      </x:c>
      <x:c r="B12" s="18" t="str">
        <x:v>Questions before the conversation</x:v>
      </x:c>
      <x:c r="C12" s="18" t="str">
        <x:v>Scroll 5 · reassurance</x:v>
      </x:c>
      <x:c r="D12" s="18" t="str">
        <x:v>D9</x:v>
      </x:c>
      <x:c r="E12" s="18" t="str">
        <x:v>#questions</x:v>
      </x:c>
      <x:c r="F12" s="18" t="str">
        <x:v>REF-05</x:v>
      </x:c>
      <x:c r="G12" s="30" t="str">
        <x:v>For review</x:v>
      </x:c>
      <x:c r="H12" s="30" t="str">
        <x:v>Not started</x:v>
      </x:c>
      <x:c r="I12" s="30" t="str">
        <x:v>Not started</x:v>
      </x:c>
      <x:c r="J12" s="30" t="str">
        <x:v>Not started</x:v>
      </x:c>
      <x:c r="K12" s="30" t="str">
        <x:v>Not tested</x:v>
      </x:c>
      <x:c r="L12" s="18" t="str">
        <x:v>Unassigned</x:v>
      </x:c>
      <x:c r="M12" s="18" t="str">
        <x:v>VIS-08</x:v>
      </x:c>
      <x:c r="N12" s="18" t="str"/>
    </x:row>
    <x:row r="13" ht="62" customHeight="1">
      <x:c r="A13" s="28" t="str">
        <x:v>SC-09</x:v>
      </x:c>
      <x:c r="B13" s="18" t="str">
        <x:v>Final horizon and contact</x:v>
      </x:c>
      <x:c r="C13" s="18" t="str">
        <x:v>Scroll 5 · close</x:v>
      </x:c>
      <x:c r="D13" s="18" t="str">
        <x:v>D8 + footer</x:v>
      </x:c>
      <x:c r="E13" s="18" t="str">
        <x:v>#contact</x:v>
      </x:c>
      <x:c r="F13" s="18" t="str">
        <x:v>REF-05</x:v>
      </x:c>
      <x:c r="G13" s="30" t="str">
        <x:v>For review</x:v>
      </x:c>
      <x:c r="H13" s="30" t="str">
        <x:v>Not started</x:v>
      </x:c>
      <x:c r="I13" s="30" t="str">
        <x:v>Not started</x:v>
      </x:c>
      <x:c r="J13" s="30" t="str">
        <x:v>Not started</x:v>
      </x:c>
      <x:c r="K13" s="30" t="str">
        <x:v>Not tested</x:v>
      </x:c>
      <x:c r="L13" s="18" t="str">
        <x:v>Unassigned</x:v>
      </x:c>
      <x:c r="M13" s="18" t="str">
        <x:v>ART-01 (reuse), ART-06 (optional reuse), VIS-08</x:v>
      </x:c>
      <x:c r="N13" s="18" t="str"/>
    </x:row>
  </x:sheetData>
  <x:mergeCells>
    <x:mergeCell ref="A1:I1"/>
    <x:mergeCell ref="A2:I2"/>
  </x:mergeCells>
  <x:conditionalFormatting sqref="G5:G13">
    <x:cfRule type="expression" dxfId="0" priority="1">
      <x:formula>G5="Approved"</x:formula>
    </x:cfRule>
    <x:cfRule type="expression" dxfId="1" priority="2">
      <x:formula>G5="Done"</x:formula>
    </x:cfRule>
    <x:cfRule type="expression" dxfId="2" priority="3">
      <x:formula>G5="Pass"</x:formula>
    </x:cfRule>
    <x:cfRule type="expression" dxfId="3" priority="4">
      <x:formula>G5="Blocked"</x:formula>
    </x:cfRule>
    <x:cfRule type="expression" dxfId="4" priority="5">
      <x:formula>G5="Fail"</x:formula>
    </x:cfRule>
    <x:cfRule type="expression" dxfId="5" priority="6">
      <x:formula>G5="For review"</x:formula>
    </x:cfRule>
    <x:cfRule type="expression" dxfId="6" priority="7">
      <x:formula>G5="Pending"</x:formula>
    </x:cfRule>
    <x:cfRule type="expression" dxfId="7" priority="8">
      <x:formula>G5="Deferred"</x:formula>
    </x:cfRule>
    <x:cfRule type="expression" dxfId="8" priority="9">
      <x:formula>G5="Not applicable"</x:formula>
    </x:cfRule>
  </x:conditionalFormatting>
  <x:conditionalFormatting sqref="H5:H13">
    <x:cfRule type="expression" dxfId="9" priority="10">
      <x:formula>H5="Approved"</x:formula>
    </x:cfRule>
    <x:cfRule type="expression" dxfId="10" priority="11">
      <x:formula>H5="Done"</x:formula>
    </x:cfRule>
    <x:cfRule type="expression" dxfId="11" priority="12">
      <x:formula>H5="Pass"</x:formula>
    </x:cfRule>
    <x:cfRule type="expression" dxfId="12" priority="13">
      <x:formula>H5="Blocked"</x:formula>
    </x:cfRule>
    <x:cfRule type="expression" dxfId="13" priority="14">
      <x:formula>H5="Fail"</x:formula>
    </x:cfRule>
    <x:cfRule type="expression" dxfId="14" priority="15">
      <x:formula>H5="For review"</x:formula>
    </x:cfRule>
    <x:cfRule type="expression" dxfId="15" priority="16">
      <x:formula>H5="Pending"</x:formula>
    </x:cfRule>
    <x:cfRule type="expression" dxfId="16" priority="17">
      <x:formula>H5="Deferred"</x:formula>
    </x:cfRule>
    <x:cfRule type="expression" dxfId="17" priority="18">
      <x:formula>H5="Not applicable"</x:formula>
    </x:cfRule>
  </x:conditionalFormatting>
  <x:conditionalFormatting sqref="I5:I13">
    <x:cfRule type="expression" dxfId="18" priority="19">
      <x:formula>I5="Approved"</x:formula>
    </x:cfRule>
    <x:cfRule type="expression" dxfId="19" priority="20">
      <x:formula>I5="Done"</x:formula>
    </x:cfRule>
    <x:cfRule type="expression" dxfId="20" priority="21">
      <x:formula>I5="Pass"</x:formula>
    </x:cfRule>
    <x:cfRule type="expression" dxfId="21" priority="22">
      <x:formula>I5="Blocked"</x:formula>
    </x:cfRule>
    <x:cfRule type="expression" dxfId="22" priority="23">
      <x:formula>I5="Fail"</x:formula>
    </x:cfRule>
    <x:cfRule type="expression" dxfId="23" priority="24">
      <x:formula>I5="For review"</x:formula>
    </x:cfRule>
    <x:cfRule type="expression" dxfId="24" priority="25">
      <x:formula>I5="Pending"</x:formula>
    </x:cfRule>
    <x:cfRule type="expression" dxfId="25" priority="26">
      <x:formula>I5="Deferred"</x:formula>
    </x:cfRule>
    <x:cfRule type="expression" dxfId="26" priority="27">
      <x:formula>I5="Not applicable"</x:formula>
    </x:cfRule>
  </x:conditionalFormatting>
  <x:conditionalFormatting sqref="J5:J13">
    <x:cfRule type="expression" dxfId="27" priority="28">
      <x:formula>J5="Approved"</x:formula>
    </x:cfRule>
    <x:cfRule type="expression" dxfId="28" priority="29">
      <x:formula>J5="Done"</x:formula>
    </x:cfRule>
    <x:cfRule type="expression" dxfId="29" priority="30">
      <x:formula>J5="Pass"</x:formula>
    </x:cfRule>
    <x:cfRule type="expression" dxfId="30" priority="31">
      <x:formula>J5="Blocked"</x:formula>
    </x:cfRule>
    <x:cfRule type="expression" dxfId="31" priority="32">
      <x:formula>J5="Fail"</x:formula>
    </x:cfRule>
    <x:cfRule type="expression" dxfId="32" priority="33">
      <x:formula>J5="For review"</x:formula>
    </x:cfRule>
    <x:cfRule type="expression" dxfId="33" priority="34">
      <x:formula>J5="Pending"</x:formula>
    </x:cfRule>
    <x:cfRule type="expression" dxfId="34" priority="35">
      <x:formula>J5="Deferred"</x:formula>
    </x:cfRule>
    <x:cfRule type="expression" dxfId="35" priority="36">
      <x:formula>J5="Not applicable"</x:formula>
    </x:cfRule>
  </x:conditionalFormatting>
  <x:conditionalFormatting sqref="K5:K13">
    <x:cfRule type="expression" dxfId="36" priority="37">
      <x:formula>K5="Approved"</x:formula>
    </x:cfRule>
    <x:cfRule type="expression" dxfId="37" priority="38">
      <x:formula>K5="Done"</x:formula>
    </x:cfRule>
    <x:cfRule type="expression" dxfId="38" priority="39">
      <x:formula>K5="Pass"</x:formula>
    </x:cfRule>
    <x:cfRule type="expression" dxfId="39" priority="40">
      <x:formula>K5="Blocked"</x:formula>
    </x:cfRule>
    <x:cfRule type="expression" dxfId="40" priority="41">
      <x:formula>K5="Fail"</x:formula>
    </x:cfRule>
    <x:cfRule type="expression" dxfId="41" priority="42">
      <x:formula>K5="For review"</x:formula>
    </x:cfRule>
    <x:cfRule type="expression" dxfId="42" priority="43">
      <x:formula>K5="Pending"</x:formula>
    </x:cfRule>
    <x:cfRule type="expression" dxfId="43" priority="44">
      <x:formula>K5="Deferred"</x:formula>
    </x:cfRule>
    <x:cfRule type="expression" dxfId="44" priority="45">
      <x:formula>K5="Not applicable"</x:formula>
    </x:cfRule>
  </x:conditionalFormatting>
  <x:dataValidations count="5">
    <x:dataValidation type="list" sqref="G5:G13">
      <x:formula1>"Not started,In progress,For review,Approved,Blocked,Deferred,Not applicable"</x:formula1>
    </x:dataValidation>
    <x:dataValidation type="list" sqref="H5:H13">
      <x:formula1>"Not started,In progress,For review,Approved,Blocked,Deferred,Not applicable"</x:formula1>
    </x:dataValidation>
    <x:dataValidation type="list" sqref="I5:I13">
      <x:formula1>"Not started,In progress,For review,Approved,Blocked,Deferred,Not applicable"</x:formula1>
    </x:dataValidation>
    <x:dataValidation type="list" sqref="J5:J13">
      <x:formula1>"Not started,In progress,For review,Approved,Blocked,Deferred,Not applicable"</x:formula1>
    </x:dataValidation>
    <x:dataValidation type="list" sqref="K5:K13">
      <x:formula1>"Not tested,Pass,Fail,Blocked,Not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38c30b229748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3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0" hidden="0" customWidth="1"/>
    <x:col min="10" max="10" width="38" hidden="0" customWidth="1"/>
    <x:col min="11" max="11" width="40" hidden="0" customWidth="1"/>
    <x:col min="12" max="12" width="40" hidden="0" customWidth="1"/>
    <x:col min="13" max="13" width="25" hidden="0" customWidth="1"/>
    <x:col min="14" max="14" width="25" hidden="0" customWidth="1"/>
    <x:col min="15" max="15" width="36" hidden="0" customWidth="1"/>
    <x:col min="16" max="16" width="20" hidden="0" customWidth="1"/>
  </x:cols>
  <x:sheetData>
    <x:row r="1" ht="30" customHeight="1">
      <x:c r="A1" s="4" t="str">
        <x:v>SPACES  /  CURIOUSLABS CINEMATIC BUILD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11" t="str">
        <x:v>68 tracked spaces. Progress fields are on the left; detailed geometry and source links are to the right. Blue status fields are editable.</x:v>
      </x:c>
      <x:c r="B2" s="11"/>
      <x:c r="C2" s="11"/>
      <x:c r="D2" s="11"/>
      <x:c r="E2" s="11"/>
      <x:c r="F2" s="11"/>
      <x:c r="G2" s="11"/>
      <x:c r="H2" s="11"/>
      <x:c r="I2" s="11"/>
    </x:row>
    <x:row r="4" ht="32" customHeight="1">
      <x:c r="A4" s="24" t="str">
        <x:v>Space ID</x:v>
      </x:c>
      <x:c r="B4" s="24" t="str">
        <x:v>Scene ID</x:v>
      </x:c>
      <x:c r="C4" s="24" t="str">
        <x:v>Space</x:v>
      </x:c>
      <x:c r="D4" s="24" t="str">
        <x:v>Copy</x:v>
      </x:c>
      <x:c r="E4" s="24" t="str">
        <x:v>Art</x:v>
      </x:c>
      <x:c r="F4" s="24" t="str">
        <x:v>Desktop</x:v>
      </x:c>
      <x:c r="G4" s="24" t="str">
        <x:v>Mobile</x:v>
      </x:c>
      <x:c r="H4" s="24" t="str">
        <x:v>QA</x:v>
      </x:c>
      <x:c r="I4" s="24" t="str">
        <x:v>Owner</x:v>
      </x:c>
      <x:c r="J4" s="24" t="str">
        <x:v>Evidence / next action</x:v>
      </x:c>
      <x:c r="K4" s="24" t="str">
        <x:v>Desktop placement</x:v>
      </x:c>
      <x:c r="L4" s="24" t="str">
        <x:v>Phone placement</x:v>
      </x:c>
      <x:c r="M4" s="24" t="str">
        <x:v>Art dependency</x:v>
      </x:c>
      <x:c r="N4" s="24" t="str">
        <x:v>Interaction dependency</x:v>
      </x:c>
      <x:c r="O4" s="24" t="str">
        <x:v>Copy source</x:v>
      </x:c>
      <x:c r="P4" s="24" t="str">
        <x:v>Layer</x:v>
      </x:c>
    </x:row>
    <x:row r="5" ht="73" customHeight="1">
      <x:c r="A5" s="28" t="str">
        <x:v>SP-01-01</x:v>
      </x:c>
      <x:c r="B5" s="18" t="str">
        <x:v>SC-01</x:v>
      </x:c>
      <x:c r="C5" s="18" t="str">
        <x:v>Eyebrow + headline</x:v>
      </x:c>
      <x:c r="D5" s="30" t="str">
        <x:v>For review</x:v>
      </x:c>
      <x:c r="E5" s="30" t="str">
        <x:v>Not applicable</x:v>
      </x:c>
      <x:c r="F5" s="30" t="str">
        <x:v>Not started</x:v>
      </x:c>
      <x:c r="G5" s="30" t="str">
        <x:v>Not started</x:v>
      </x:c>
      <x:c r="H5" s="30" t="str">
        <x:v>Not tested</x:v>
      </x:c>
      <x:c r="I5" s="18" t="str">
        <x:v>Unassigned</x:v>
      </x:c>
      <x:c r="J5" s="18" t="str"/>
      <x:c r="K5" s="18" t="str">
        <x:v>Top-left; one h1. 6 columns.</x:v>
      </x:c>
      <x:c r="L5" s="18" t="str">
        <x:v>Full width; natural line breaks.</x:v>
      </x:c>
      <x:c r="M5" s="18" t="str"/>
      <x:c r="N5" s="18" t="str">
        <x:v>INT-01</x:v>
      </x:c>
      <x:c r="O5" s="18" t="str">
        <x:v>SRC-02 §1</x:v>
      </x:c>
      <x:c r="P5" s="18" t="str">
        <x:v>HTML</x:v>
      </x:c>
    </x:row>
    <x:row r="6" ht="73" customHeight="1">
      <x:c r="A6" s="28" t="str">
        <x:v>SP-01-02</x:v>
      </x:c>
      <x:c r="B6" s="18" t="str">
        <x:v>SC-01</x:v>
      </x:c>
      <x:c r="C6" s="18" t="str">
        <x:v>Advisor lead + invitation</x:v>
      </x:c>
      <x:c r="D6" s="30" t="str">
        <x:v>For review</x:v>
      </x:c>
      <x:c r="E6" s="30" t="str">
        <x:v>Not applicable</x:v>
      </x:c>
      <x:c r="F6" s="30" t="str">
        <x:v>Not started</x:v>
      </x:c>
      <x:c r="G6" s="30" t="str">
        <x:v>Not started</x:v>
      </x:c>
      <x:c r="H6" s="30" t="str">
        <x:v>Not tested</x:v>
      </x:c>
      <x:c r="I6" s="18" t="str">
        <x:v>Unassigned</x:v>
      </x:c>
      <x:c r="J6" s="18" t="str"/>
      <x:c r="K6" s="18" t="str">
        <x:v>Under heading; 45–65-word lead allowance.</x:v>
      </x:c>
      <x:c r="L6" s="18" t="str">
        <x:v>Short visible lead; aim 5–7 lines at 390px, expand if approved meaning needs it.</x:v>
      </x:c>
      <x:c r="M6" s="18" t="str"/>
      <x:c r="N6" s="18" t="str">
        <x:v>INT-01</x:v>
      </x:c>
      <x:c r="O6" s="18" t="str">
        <x:v>SRC-01 §§1–6; SRC-02 §1</x:v>
      </x:c>
      <x:c r="P6" s="18" t="str">
        <x:v>HTML</x:v>
      </x:c>
    </x:row>
    <x:row r="7" ht="73" customHeight="1">
      <x:c r="A7" s="28" t="str">
        <x:v>SP-01-03</x:v>
      </x:c>
      <x:c r="B7" s="18" t="str">
        <x:v>SC-01</x:v>
      </x:c>
      <x:c r="C7" s="18" t="str">
        <x:v>Primary + secondary actions</x:v>
      </x:c>
      <x:c r="D7" s="30" t="str">
        <x:v>For review</x:v>
      </x:c>
      <x:c r="E7" s="30" t="str">
        <x:v>Not applicable</x:v>
      </x:c>
      <x:c r="F7" s="30" t="str">
        <x:v>Not started</x:v>
      </x:c>
      <x:c r="G7" s="30" t="str">
        <x:v>Not started</x:v>
      </x:c>
      <x:c r="H7" s="30" t="str">
        <x:v>Not tested</x:v>
      </x:c>
      <x:c r="I7" s="18" t="str">
        <x:v>Unassigned</x:v>
      </x:c>
      <x:c r="J7" s="18" t="str"/>
      <x:c r="K7" s="18" t="str">
        <x:v>Inline: free conversation → #contact; approach → #approach.</x:v>
      </x:c>
      <x:c r="L7" s="18" t="str">
        <x:v>Full-width actions, minimum 44px hit area.</x:v>
      </x:c>
      <x:c r="M7" s="18" t="str"/>
      <x:c r="N7" s="18" t="str">
        <x:v>INT-09</x:v>
      </x:c>
      <x:c r="O7" s="18" t="str">
        <x:v>SRC-02 §1</x:v>
      </x:c>
      <x:c r="P7" s="18" t="str">
        <x:v>Control</x:v>
      </x:c>
    </x:row>
    <x:row r="8" ht="73" customHeight="1">
      <x:c r="A8" s="28" t="str">
        <x:v>SP-01-04</x:v>
      </x:c>
      <x:c r="B8" s="18" t="str">
        <x:v>SC-01</x:v>
      </x:c>
      <x:c r="C8" s="18" t="str">
        <x:v>Earth atmosphere + protective scrim</x:v>
      </x:c>
      <x:c r="D8" s="30" t="str">
        <x:v>Not applicable</x:v>
      </x:c>
      <x:c r="E8" s="30" t="str">
        <x:v>Not started</x:v>
      </x:c>
      <x:c r="F8" s="30" t="str">
        <x:v>Not started</x:v>
      </x:c>
      <x:c r="G8" s="30" t="str">
        <x:v>Not started</x:v>
      </x:c>
      <x:c r="H8" s="30" t="str">
        <x:v>Not tested</x:v>
      </x:c>
      <x:c r="I8" s="18" t="str">
        <x:v>Unassigned</x:v>
      </x:c>
      <x:c r="J8" s="18" t="str"/>
      <x:c r="K8" s="18" t="str">
        <x:v>Right/bottom, about half the scene.</x:v>
      </x:c>
      <x:c r="L8" s="18" t="str">
        <x:v>Distinct mobile crop below/behind copy; no text in image.</x:v>
      </x:c>
      <x:c r="M8" s="18" t="str">
        <x:v>ART-01</x:v>
      </x:c>
      <x:c r="N8" s="18" t="str">
        <x:v>INT-11</x:v>
      </x:c>
      <x:c r="O8" s="18" t="str">
        <x:v>Visual only</x:v>
      </x:c>
      <x:c r="P8" s="18" t="str">
        <x:v>Image + CSS</x:v>
      </x:c>
    </x:row>
    <x:row r="9" ht="73" customHeight="1">
      <x:c r="A9" s="28" t="str">
        <x:v>SP-01-05</x:v>
      </x:c>
      <x:c r="B9" s="18" t="str">
        <x:v>SC-01</x:v>
      </x:c>
      <x:c r="C9" s="18" t="str">
        <x:v>Personal delivery / place / spoken languages</x:v>
      </x:c>
      <x:c r="D9" s="30" t="str">
        <x:v>For review</x:v>
      </x:c>
      <x:c r="E9" s="30" t="str">
        <x:v>Not applicable</x:v>
      </x:c>
      <x:c r="F9" s="30" t="str">
        <x:v>Not started</x:v>
      </x:c>
      <x:c r="G9" s="30" t="str">
        <x:v>Not started</x:v>
      </x:c>
      <x:c r="H9" s="30" t="str">
        <x:v>Not tested</x:v>
      </x:c>
      <x:c r="I9" s="18" t="str">
        <x:v>Unassigned</x:v>
      </x:c>
      <x:c r="J9" s="18" t="str"/>
      <x:c r="K9" s="18" t="str">
        <x:v>Low horizontal strip.</x:v>
      </x:c>
      <x:c r="L9" s="18" t="str">
        <x:v>Wrapping compact lines, never tiny compressed chips.</x:v>
      </x:c>
      <x:c r="M9" s="18" t="str"/>
      <x:c r="N9" s="18" t="str"/>
      <x:c r="O9" s="18" t="str">
        <x:v>SRC-02 §1; SRC-03 Q11–12</x:v>
      </x:c>
      <x:c r="P9" s="18" t="str">
        <x:v>HTML</x:v>
      </x:c>
    </x:row>
    <x:row r="10" ht="73" customHeight="1">
      <x:c r="A10" s="28" t="str">
        <x:v>SP-01-06</x:v>
      </x:c>
      <x:c r="B10" s="18" t="str">
        <x:v>SC-01</x:v>
      </x:c>
      <x:c r="C10" s="18" t="str">
        <x:v>Decorative quote / orbital labels</x:v>
      </x:c>
      <x:c r="D10" s="30" t="str">
        <x:v>Deferred</x:v>
      </x:c>
      <x:c r="E10" s="30" t="str">
        <x:v>Not applicable</x:v>
      </x:c>
      <x:c r="F10" s="30" t="str">
        <x:v>Not started</x:v>
      </x:c>
      <x:c r="G10" s="30" t="str">
        <x:v>Not started</x:v>
      </x:c>
      <x:c r="H10" s="30" t="str">
        <x:v>Not applicable</x:v>
      </x:c>
      <x:c r="I10" s="18" t="str">
        <x:v>Unassigned</x:v>
      </x:c>
      <x:c r="J10" s="18" t="str"/>
      <x:c r="K10" s="18" t="str">
        <x:v>Omit until exact words are approved.</x:v>
      </x:c>
      <x:c r="L10" s="18" t="str">
        <x:v>Omit; do not spend a phone screen on a slogan.</x:v>
      </x:c>
      <x:c r="M10" s="18" t="str"/>
      <x:c r="N10" s="18" t="str"/>
      <x:c r="O10" s="18" t="str">
        <x:v>DEC-01</x:v>
      </x:c>
      <x:c r="P10" s="18" t="str">
        <x:v>Reserved</x:v>
      </x:c>
    </x:row>
    <x:row r="11" ht="73" customHeight="1">
      <x:c r="A11" s="28" t="str">
        <x:v>SP-01-07</x:v>
      </x:c>
      <x:c r="B11" s="18" t="str">
        <x:v>SC-01</x:v>
      </x:c>
      <x:c r="C11" s="18" t="str">
        <x:v>Transition + section navigation</x:v>
      </x:c>
      <x:c r="D11" s="30" t="str">
        <x:v>For review</x:v>
      </x:c>
      <x:c r="E11" s="30" t="str">
        <x:v>Not applicable</x:v>
      </x:c>
      <x:c r="F11" s="30" t="str">
        <x:v>Not started</x:v>
      </x:c>
      <x:c r="G11" s="30" t="str">
        <x:v>Not started</x:v>
      </x:c>
      <x:c r="H11" s="30" t="str">
        <x:v>Not tested</x:v>
      </x:c>
      <x:c r="I11" s="18" t="str">
        <x:v>Unassigned</x:v>
      </x:c>
      <x:c r="J11" s="18" t="str"/>
      <x:c r="K11" s="18" t="str">
        <x:v>Quiet inline anchors after hero; globe fades into next scene.</x:v>
      </x:c>
      <x:c r="L11" s="18" t="str">
        <x:v>Wrapping anchors; no second fixed bar covering content.</x:v>
      </x:c>
      <x:c r="M11" s="18" t="str"/>
      <x:c r="N11" s="18" t="str">
        <x:v>INT-09</x:v>
      </x:c>
      <x:c r="O11" s="18" t="str">
        <x:v>Existing anchors</x:v>
      </x:c>
      <x:c r="P11" s="18" t="str">
        <x:v>Control</x:v>
      </x:c>
    </x:row>
    <x:row r="12" ht="73" customHeight="1">
      <x:c r="A12" s="28" t="str">
        <x:v>SP-02-01</x:v>
      </x:c>
      <x:c r="B12" s="18" t="str">
        <x:v>SC-02</x:v>
      </x:c>
      <x:c r="C12" s="18" t="str">
        <x:v>Section heading + shared invitation</x:v>
      </x:c>
      <x:c r="D12" s="30" t="str">
        <x:v>For review</x:v>
      </x:c>
      <x:c r="E12" s="30" t="str">
        <x:v>Not applicable</x:v>
      </x:c>
      <x:c r="F12" s="30" t="str">
        <x:v>Not started</x:v>
      </x:c>
      <x:c r="G12" s="30" t="str">
        <x:v>Not started</x:v>
      </x:c>
      <x:c r="H12" s="30" t="str">
        <x:v>Not tested</x:v>
      </x:c>
      <x:c r="I12" s="18" t="str">
        <x:v>Unassigned</x:v>
      </x:c>
      <x:c r="J12" s="18" t="str"/>
      <x:c r="K12" s="18" t="str">
        <x:v>Full-width top band.</x:v>
      </x:c>
      <x:c r="L12" s="18" t="str">
        <x:v>Before audience-name index.</x:v>
      </x:c>
      <x:c r="M12" s="18" t="str"/>
      <x:c r="N12" s="18" t="str"/>
      <x:c r="O12" s="18" t="str">
        <x:v>SRC-02 §2; copy pass</x:v>
      </x:c>
      <x:c r="P12" s="18" t="str">
        <x:v>HTML</x:v>
      </x:c>
    </x:row>
    <x:row r="13" ht="73" customHeight="1">
      <x:c r="A13" s="28" t="str">
        <x:v>SP-02-02</x:v>
      </x:c>
      <x:c r="B13" s="18" t="str">
        <x:v>SC-02</x:v>
      </x:c>
      <x:c r="C13" s="18" t="str">
        <x:v>Technical-company copy</x:v>
      </x:c>
      <x:c r="D13" s="30" t="str">
        <x:v>For review</x:v>
      </x:c>
      <x:c r="E13" s="30" t="str">
        <x:v>Not applicable</x:v>
      </x:c>
      <x:c r="F13" s="30" t="str">
        <x:v>Not started</x:v>
      </x:c>
      <x:c r="G13" s="30" t="str">
        <x:v>Not started</x:v>
      </x:c>
      <x:c r="H13" s="30" t="str">
        <x:v>Not tested</x:v>
      </x:c>
      <x:c r="I13" s="18" t="str">
        <x:v>Unassigned</x:v>
      </x:c>
      <x:c r="J13" s="18" t="str"/>
      <x:c r="K13" s="18" t="str">
        <x:v>Left inner two-thirds.</x:v>
      </x:c>
      <x:c r="L13" s="18" t="str">
        <x:v>First track item; essential meaning visible, not hidden on a flip side.</x:v>
      </x:c>
      <x:c r="M13" s="18" t="str"/>
      <x:c r="N13" s="18" t="str">
        <x:v>INT-02</x:v>
      </x:c>
      <x:c r="O13" s="18" t="str">
        <x:v>SRC-01 §3</x:v>
      </x:c>
      <x:c r="P13" s="18" t="str">
        <x:v>HTML</x:v>
      </x:c>
    </x:row>
    <x:row r="14" ht="73" customHeight="1">
      <x:c r="A14" s="28" t="str">
        <x:v>SP-02-03</x:v>
      </x:c>
      <x:c r="B14" s="18" t="str">
        <x:v>SC-02</x:v>
      </x:c>
      <x:c r="C14" s="18" t="str">
        <x:v>Technical doorway / cyan vista</x:v>
      </x:c>
      <x:c r="D14" s="30" t="str">
        <x:v>Not applicable</x:v>
      </x:c>
      <x:c r="E14" s="30" t="str">
        <x:v>Not started</x:v>
      </x:c>
      <x:c r="F14" s="30" t="str">
        <x:v>Not started</x:v>
      </x:c>
      <x:c r="G14" s="30" t="str">
        <x:v>Not started</x:v>
      </x:c>
      <x:c r="H14" s="30" t="str">
        <x:v>Not tested</x:v>
      </x:c>
      <x:c r="I14" s="18" t="str">
        <x:v>Unassigned</x:v>
      </x:c>
      <x:c r="J14" s="18" t="str"/>
      <x:c r="K14" s="18" t="str">
        <x:v>Outer right third of first door panel.</x:v>
      </x:c>
      <x:c r="L14" s="18" t="str">
        <x:v>Shallower crop on right or top, text remains dominant.</x:v>
      </x:c>
      <x:c r="M14" s="18" t="str">
        <x:v>ART-02</x:v>
      </x:c>
      <x:c r="N14" s="18" t="str">
        <x:v>INT-02</x:v>
      </x:c>
      <x:c r="O14" s="18" t="str">
        <x:v>Visual only</x:v>
      </x:c>
      <x:c r="P14" s="18" t="str">
        <x:v>Image + DOM</x:v>
      </x:c>
    </x:row>
    <x:row r="15" ht="73" customHeight="1">
      <x:c r="A15" s="28" t="str">
        <x:v>SP-02-04</x:v>
      </x:c>
      <x:c r="B15" s="18" t="str">
        <x:v>SC-02</x:v>
      </x:c>
      <x:c r="C15" s="18" t="str">
        <x:v>Non-technical-company copy</x:v>
      </x:c>
      <x:c r="D15" s="30" t="str">
        <x:v>For review</x:v>
      </x:c>
      <x:c r="E15" s="30" t="str">
        <x:v>Not applicable</x:v>
      </x:c>
      <x:c r="F15" s="30" t="str">
        <x:v>Not started</x:v>
      </x:c>
      <x:c r="G15" s="30" t="str">
        <x:v>Not started</x:v>
      </x:c>
      <x:c r="H15" s="30" t="str">
        <x:v>Not tested</x:v>
      </x:c>
      <x:c r="I15" s="18" t="str">
        <x:v>Unassigned</x:v>
      </x:c>
      <x:c r="J15" s="18" t="str"/>
      <x:c r="K15" s="18" t="str">
        <x:v>Right card inner two-thirds.</x:v>
      </x:c>
      <x:c r="L15" s="18" t="str">
        <x:v>Second track item; not labeled as beginner-only.</x:v>
      </x:c>
      <x:c r="M15" s="18" t="str"/>
      <x:c r="N15" s="18" t="str">
        <x:v>INT-02</x:v>
      </x:c>
      <x:c r="O15" s="18" t="str">
        <x:v>SRC-01 §3</x:v>
      </x:c>
      <x:c r="P15" s="18" t="str">
        <x:v>HTML</x:v>
      </x:c>
    </x:row>
    <x:row r="16" ht="73" customHeight="1">
      <x:c r="A16" s="28" t="str">
        <x:v>SP-02-05</x:v>
      </x:c>
      <x:c r="B16" s="18" t="str">
        <x:v>SC-02</x:v>
      </x:c>
      <x:c r="C16" s="18" t="str">
        <x:v>Business doorway / warm vista</x:v>
      </x:c>
      <x:c r="D16" s="30" t="str">
        <x:v>Not applicable</x:v>
      </x:c>
      <x:c r="E16" s="30" t="str">
        <x:v>Not started</x:v>
      </x:c>
      <x:c r="F16" s="30" t="str">
        <x:v>Not started</x:v>
      </x:c>
      <x:c r="G16" s="30" t="str">
        <x:v>Not started</x:v>
      </x:c>
      <x:c r="H16" s="30" t="str">
        <x:v>Not tested</x:v>
      </x:c>
      <x:c r="I16" s="18" t="str">
        <x:v>Unassigned</x:v>
      </x:c>
      <x:c r="J16" s="18" t="str"/>
      <x:c r="K16" s="18" t="str">
        <x:v>Outer right third of second panel.</x:v>
      </x:c>
      <x:c r="L16" s="18" t="str">
        <x:v>Match technical card’s crop depth and status.</x:v>
      </x:c>
      <x:c r="M16" s="18" t="str">
        <x:v>ART-03</x:v>
      </x:c>
      <x:c r="N16" s="18" t="str">
        <x:v>INT-02</x:v>
      </x:c>
      <x:c r="O16" s="18" t="str">
        <x:v>Visual only</x:v>
      </x:c>
      <x:c r="P16" s="18" t="str">
        <x:v>Image + DOM</x:v>
      </x:c>
    </x:row>
    <x:row r="17" ht="73" customHeight="1">
      <x:c r="A17" s="28" t="str">
        <x:v>SP-02-06</x:v>
      </x:c>
      <x:c r="B17" s="18" t="str">
        <x:v>SC-02</x:v>
      </x:c>
      <x:c r="C17" s="18" t="str">
        <x:v>Detail links + track navigation</x:v>
      </x:c>
      <x:c r="D17" s="30" t="str">
        <x:v>For review</x:v>
      </x:c>
      <x:c r="E17" s="30" t="str">
        <x:v>Not applicable</x:v>
      </x:c>
      <x:c r="F17" s="30" t="str">
        <x:v>Not started</x:v>
      </x:c>
      <x:c r="G17" s="30" t="str">
        <x:v>Not started</x:v>
      </x:c>
      <x:c r="H17" s="30" t="str">
        <x:v>Not tested</x:v>
      </x:c>
      <x:c r="I17" s="18" t="str">
        <x:v>Unassigned</x:v>
      </x:c>
      <x:c r="J17" s="18" t="str"/>
      <x:c r="K17" s="18" t="str">
        <x:v>Optional “Discuss your situation” anchors; no booking UI.</x:v>
      </x:c>
      <x:c r="L17" s="18" t="str">
        <x:v>Names + count + previous/next; all links must resolve.</x:v>
      </x:c>
      <x:c r="M17" s="18" t="str"/>
      <x:c r="N17" s="18" t="str">
        <x:v>INT-02; INT-09</x:v>
      </x:c>
      <x:c r="O17" s="18" t="str">
        <x:v>SRC-02 §2; interaction proposal</x:v>
      </x:c>
      <x:c r="P17" s="18" t="str">
        <x:v>Control</x:v>
      </x:c>
    </x:row>
    <x:row r="18" ht="73" customHeight="1">
      <x:c r="A18" s="28" t="str">
        <x:v>SP-02-07</x:v>
      </x:c>
      <x:c r="B18" s="18" t="str">
        <x:v>SC-02</x:v>
      </x:c>
      <x:c r="C18" s="18" t="str">
        <x:v>Ground plane + seam into walls</x:v>
      </x:c>
      <x:c r="D18" s="30" t="str">
        <x:v>Not applicable</x:v>
      </x:c>
      <x:c r="E18" s="30" t="str">
        <x:v>Not applicable</x:v>
      </x:c>
      <x:c r="F18" s="30" t="str">
        <x:v>Not started</x:v>
      </x:c>
      <x:c r="G18" s="30" t="str">
        <x:v>Not started</x:v>
      </x:c>
      <x:c r="H18" s="30" t="str">
        <x:v>Not tested</x:v>
      </x:c>
      <x:c r="I18" s="18" t="str">
        <x:v>Unassigned</x:v>
      </x:c>
      <x:c r="J18" s="18" t="str"/>
      <x:c r="K18" s="18" t="str">
        <x:v>A shared perspective floor, then landscape transition.</x:v>
      </x:c>
      <x:c r="L18" s="18" t="str">
        <x:v>Short seam; no empty spacer screen.</x:v>
      </x:c>
      <x:c r="M18" s="18" t="str"/>
      <x:c r="N18" s="18" t="str">
        <x:v>INT-11</x:v>
      </x:c>
      <x:c r="O18" s="18" t="str">
        <x:v>Visual only</x:v>
      </x:c>
      <x:c r="P18" s="18" t="str">
        <x:v>CSS</x:v>
      </x:c>
    </x:row>
    <x:row r="19" ht="73" customHeight="1">
      <x:c r="A19" s="28" t="str">
        <x:v>SP-03-01</x:v>
      </x:c>
      <x:c r="B19" s="18" t="str">
        <x:v>SC-03</x:v>
      </x:c>
      <x:c r="C19" s="18" t="str">
        <x:v>Three-problem introduction</x:v>
      </x:c>
      <x:c r="D19" s="30" t="str">
        <x:v>For review</x:v>
      </x:c>
      <x:c r="E19" s="30" t="str">
        <x:v>Not applicable</x:v>
      </x:c>
      <x:c r="F19" s="30" t="str">
        <x:v>Not started</x:v>
      </x:c>
      <x:c r="G19" s="30" t="str">
        <x:v>Not started</x:v>
      </x:c>
      <x:c r="H19" s="30" t="str">
        <x:v>Not tested</x:v>
      </x:c>
      <x:c r="I19" s="18" t="str">
        <x:v>Unassigned</x:v>
      </x:c>
      <x:c r="J19" s="18" t="str"/>
      <x:c r="K19" s="18" t="str">
        <x:v>Across sky above monoliths.</x:v>
      </x:c>
      <x:c r="L19" s="18" t="str">
        <x:v>Visible before the track.</x:v>
      </x:c>
      <x:c r="M19" s="18" t="str"/>
      <x:c r="N19" s="18" t="str"/>
      <x:c r="O19" s="18" t="str">
        <x:v>SRC-02 §2</x:v>
      </x:c>
      <x:c r="P19" s="18" t="str">
        <x:v>HTML</x:v>
      </x:c>
    </x:row>
    <x:row r="20" ht="73" customHeight="1">
      <x:c r="A20" s="28" t="str">
        <x:v>SP-03-02</x:v>
      </x:c>
      <x:c r="B20" s="18" t="str">
        <x:v>SC-03</x:v>
      </x:c>
      <x:c r="C20" s="18" t="str">
        <x:v>Trust monolith + response</x:v>
      </x:c>
      <x:c r="D20" s="30" t="str">
        <x:v>For review</x:v>
      </x:c>
      <x:c r="E20" s="30" t="str">
        <x:v>Not applicable</x:v>
      </x:c>
      <x:c r="F20" s="30" t="str">
        <x:v>Not started</x:v>
      </x:c>
      <x:c r="G20" s="30" t="str">
        <x:v>Not started</x:v>
      </x:c>
      <x:c r="H20" s="30" t="str">
        <x:v>Not tested</x:v>
      </x:c>
      <x:c r="I20" s="18" t="str">
        <x:v>Unassigned</x:v>
      </x:c>
      <x:c r="J20" s="18" t="str"/>
      <x:c r="K20" s="18" t="str">
        <x:v>One of three equal panels; no drawn text.</x:v>
      </x:c>
      <x:c r="L20" s="18" t="str">
        <x:v>One track item; response opens by explicit button.</x:v>
      </x:c>
      <x:c r="M20" s="18" t="str"/>
      <x:c r="N20" s="18" t="str">
        <x:v>INT-03</x:v>
      </x:c>
      <x:c r="O20" s="18" t="str">
        <x:v>SRC-03 Q1; SRC-02 §2</x:v>
      </x:c>
      <x:c r="P20" s="18" t="str">
        <x:v>HTML + DOM</x:v>
      </x:c>
    </x:row>
    <x:row r="21" ht="73" customHeight="1">
      <x:c r="A21" s="28" t="str">
        <x:v>SP-03-03</x:v>
      </x:c>
      <x:c r="B21" s="18" t="str">
        <x:v>SC-03</x:v>
      </x:c>
      <x:c r="C21" s="18" t="str">
        <x:v>Complexity monolith + response</x:v>
      </x:c>
      <x:c r="D21" s="30" t="str">
        <x:v>For review</x:v>
      </x:c>
      <x:c r="E21" s="30" t="str">
        <x:v>Not applicable</x:v>
      </x:c>
      <x:c r="F21" s="30" t="str">
        <x:v>Not started</x:v>
      </x:c>
      <x:c r="G21" s="30" t="str">
        <x:v>Not started</x:v>
      </x:c>
      <x:c r="H21" s="30" t="str">
        <x:v>Not tested</x:v>
      </x:c>
      <x:c r="I21" s="18" t="str">
        <x:v>Unassigned</x:v>
      </x:c>
      <x:c r="J21" s="18" t="str"/>
      <x:c r="K21" s="18" t="str">
        <x:v>One of three equal panels; no drawn text.</x:v>
      </x:c>
      <x:c r="L21" s="18" t="str">
        <x:v>One track item; response opens by explicit button.</x:v>
      </x:c>
      <x:c r="M21" s="18" t="str"/>
      <x:c r="N21" s="18" t="str">
        <x:v>INT-03</x:v>
      </x:c>
      <x:c r="O21" s="18" t="str">
        <x:v>SRC-03 Q1; SRC-02 §2</x:v>
      </x:c>
      <x:c r="P21" s="18" t="str">
        <x:v>HTML + DOM</x:v>
      </x:c>
    </x:row>
    <x:row r="22" ht="73" customHeight="1">
      <x:c r="A22" s="28" t="str">
        <x:v>SP-03-04</x:v>
      </x:c>
      <x:c r="B22" s="18" t="str">
        <x:v>SC-03</x:v>
      </x:c>
      <x:c r="C22" s="18" t="str">
        <x:v>Reliability monolith + response</x:v>
      </x:c>
      <x:c r="D22" s="30" t="str">
        <x:v>For review</x:v>
      </x:c>
      <x:c r="E22" s="30" t="str">
        <x:v>Not applicable</x:v>
      </x:c>
      <x:c r="F22" s="30" t="str">
        <x:v>Not started</x:v>
      </x:c>
      <x:c r="G22" s="30" t="str">
        <x:v>Not started</x:v>
      </x:c>
      <x:c r="H22" s="30" t="str">
        <x:v>Not tested</x:v>
      </x:c>
      <x:c r="I22" s="18" t="str">
        <x:v>Unassigned</x:v>
      </x:c>
      <x:c r="J22" s="18" t="str"/>
      <x:c r="K22" s="18" t="str">
        <x:v>One of three equal panels; no drawn text.</x:v>
      </x:c>
      <x:c r="L22" s="18" t="str">
        <x:v>One track item; response opens by explicit button.</x:v>
      </x:c>
      <x:c r="M22" s="18" t="str"/>
      <x:c r="N22" s="18" t="str">
        <x:v>INT-03</x:v>
      </x:c>
      <x:c r="O22" s="18" t="str">
        <x:v>SRC-03 Q1; SRC-02 §2</x:v>
      </x:c>
      <x:c r="P22" s="18" t="str">
        <x:v>HTML + DOM</x:v>
      </x:c>
    </x:row>
    <x:row r="23" ht="73" customHeight="1">
      <x:c r="A23" s="28" t="str">
        <x:v>SP-03-05</x:v>
      </x:c>
      <x:c r="B23" s="18" t="str">
        <x:v>SC-03</x:v>
      </x:c>
      <x:c r="C23" s="18" t="str">
        <x:v>Terrain and luminous path</x:v>
      </x:c>
      <x:c r="D23" s="30" t="str">
        <x:v>Not applicable</x:v>
      </x:c>
      <x:c r="E23" s="30" t="str">
        <x:v>Not started</x:v>
      </x:c>
      <x:c r="F23" s="30" t="str">
        <x:v>Not started</x:v>
      </x:c>
      <x:c r="G23" s="30" t="str">
        <x:v>Not started</x:v>
      </x:c>
      <x:c r="H23" s="30" t="str">
        <x:v>Not tested</x:v>
      </x:c>
      <x:c r="I23" s="18" t="str">
        <x:v>Unassigned</x:v>
      </x:c>
      <x:c r="J23" s="18" t="str"/>
      <x:c r="K23" s="18" t="str">
        <x:v>Full-bleed lower stage behind the walls.</x:v>
      </x:c>
      <x:c r="L23" s="18" t="str">
        <x:v>Portrait crop; keep foreground shallow.</x:v>
      </x:c>
      <x:c r="M23" s="18" t="str">
        <x:v>ART-04</x:v>
      </x:c>
      <x:c r="N23" s="18" t="str">
        <x:v>INT-11</x:v>
      </x:c>
      <x:c r="O23" s="18" t="str">
        <x:v>Visual only</x:v>
      </x:c>
      <x:c r="P23" s="18" t="str">
        <x:v>Image + SVG</x:v>
      </x:c>
    </x:row>
    <x:row r="24" ht="73" customHeight="1">
      <x:c r="A24" s="28" t="str">
        <x:v>SP-03-06</x:v>
      </x:c>
      <x:c r="B24" s="18" t="str">
        <x:v>SC-03</x:v>
      </x:c>
      <x:c r="C24" s="18" t="str">
        <x:v>Response controls / track index</x:v>
      </x:c>
      <x:c r="D24" s="30" t="str">
        <x:v>For review</x:v>
      </x:c>
      <x:c r="E24" s="30" t="str">
        <x:v>Not applicable</x:v>
      </x:c>
      <x:c r="F24" s="30" t="str">
        <x:v>Not started</x:v>
      </x:c>
      <x:c r="G24" s="30" t="str">
        <x:v>Not started</x:v>
      </x:c>
      <x:c r="H24" s="30" t="str">
        <x:v>Not tested</x:v>
      </x:c>
      <x:c r="I24" s="18" t="str">
        <x:v>Unassigned</x:v>
      </x:c>
      <x:c r="J24" s="18" t="str"/>
      <x:c r="K24" s="18" t="str">
        <x:v>Explicit open/close, not hover-only flip.</x:v>
      </x:c>
      <x:c r="L24" s="18" t="str">
        <x:v>Previous/next plus three topic names.</x:v>
      </x:c>
      <x:c r="M24" s="18" t="str"/>
      <x:c r="N24" s="18" t="str">
        <x:v>INT-03</x:v>
      </x:c>
      <x:c r="O24" s="18" t="str">
        <x:v>Interaction proposal</x:v>
      </x:c>
      <x:c r="P24" s="18" t="str">
        <x:v>Control</x:v>
      </x:c>
    </x:row>
    <x:row r="25" ht="73" customHeight="1">
      <x:c r="A25" s="28" t="str">
        <x:v>SP-03-07</x:v>
      </x:c>
      <x:c r="B25" s="18" t="str">
        <x:v>SC-03</x:v>
      </x:c>
      <x:c r="C25" s="18" t="str">
        <x:v>Bridge into the consultation</x:v>
      </x:c>
      <x:c r="D25" s="30" t="str">
        <x:v>For review</x:v>
      </x:c>
      <x:c r="E25" s="30" t="str">
        <x:v>Not applicable</x:v>
      </x:c>
      <x:c r="F25" s="30" t="str">
        <x:v>Not started</x:v>
      </x:c>
      <x:c r="G25" s="30" t="str">
        <x:v>Not started</x:v>
      </x:c>
      <x:c r="H25" s="30" t="str">
        <x:v>Not tested</x:v>
      </x:c>
      <x:c r="I25" s="18" t="str">
        <x:v>Unassigned</x:v>
      </x:c>
      <x:c r="J25" s="18" t="str"/>
      <x:c r="K25" s="18" t="str">
        <x:v>One short sentence under stage.</x:v>
      </x:c>
      <x:c r="L25" s="18" t="str">
        <x:v>One line or short paragraph; no additional large card.</x:v>
      </x:c>
      <x:c r="M25" s="18" t="str"/>
      <x:c r="N25" s="18" t="str"/>
      <x:c r="O25" s="18" t="str">
        <x:v>SRC-02 §2; copy pass</x:v>
      </x:c>
      <x:c r="P25" s="18" t="str">
        <x:v>HTML</x:v>
      </x:c>
    </x:row>
    <x:row r="26" ht="73" customHeight="1">
      <x:c r="A26" s="28" t="str">
        <x:v>SP-04-01</x:v>
      </x:c>
      <x:c r="B26" s="18" t="str">
        <x:v>SC-04</x:v>
      </x:c>
      <x:c r="C26" s="18" t="str">
        <x:v>Consulting act: problem → clarity</x:v>
      </x:c>
      <x:c r="D26" s="30" t="str">
        <x:v>For review</x:v>
      </x:c>
      <x:c r="E26" s="30" t="str">
        <x:v>Not applicable</x:v>
      </x:c>
      <x:c r="F26" s="30" t="str">
        <x:v>Not started</x:v>
      </x:c>
      <x:c r="G26" s="30" t="str">
        <x:v>Not started</x:v>
      </x:c>
      <x:c r="H26" s="30" t="str">
        <x:v>Not tested</x:v>
      </x:c>
      <x:c r="I26" s="18" t="str">
        <x:v>Unassigned</x:v>
      </x:c>
      <x:c r="J26" s="18" t="str"/>
      <x:c r="K26" s="18" t="str">
        <x:v>Open full-width headline + concise intro.</x:v>
      </x:c>
      <x:c r="L26" s="18" t="str">
        <x:v>First, before methods.</x:v>
      </x:c>
      <x:c r="M26" s="18" t="str"/>
      <x:c r="N26" s="18" t="str"/>
      <x:c r="O26" s="18" t="str">
        <x:v>SRC-02 §3</x:v>
      </x:c>
      <x:c r="P26" s="18" t="str">
        <x:v>HTML</x:v>
      </x:c>
    </x:row>
    <x:row r="27" ht="73" customHeight="1">
      <x:c r="A27" s="28" t="str">
        <x:v>SP-04-02</x:v>
      </x:c>
      <x:c r="B27" s="18" t="str">
        <x:v>SC-04</x:v>
      </x:c>
      <x:c r="C27" s="18" t="str">
        <x:v>Area 1: where AI is worth it</x:v>
      </x:c>
      <x:c r="D27" s="30" t="str">
        <x:v>For review</x:v>
      </x:c>
      <x:c r="E27" s="30" t="str">
        <x:v>Not applicable</x:v>
      </x:c>
      <x:c r="F27" s="30" t="str">
        <x:v>Not started</x:v>
      </x:c>
      <x:c r="G27" s="30" t="str">
        <x:v>Not started</x:v>
      </x:c>
      <x:c r="H27" s="30" t="str">
        <x:v>Not tested</x:v>
      </x:c>
      <x:c r="I27" s="18" t="str">
        <x:v>Unassigned</x:v>
      </x:c>
      <x:c r="J27" s="18" t="str"/>
      <x:c r="K27" s="18" t="str">
        <x:v>Left 3 columns; compact copy.</x:v>
      </x:c>
      <x:c r="L27" s="18" t="str">
        <x:v>First compact row.</x:v>
      </x:c>
      <x:c r="M27" s="18" t="str"/>
      <x:c r="N27" s="18" t="str">
        <x:v>INT-04</x:v>
      </x:c>
      <x:c r="O27" s="18" t="str">
        <x:v>SRC-01 §4 / T1</x:v>
      </x:c>
      <x:c r="P27" s="18" t="str">
        <x:v>HTML</x:v>
      </x:c>
    </x:row>
    <x:row r="28" ht="73" customHeight="1">
      <x:c r="A28" s="28" t="str">
        <x:v>SP-04-03</x:v>
      </x:c>
      <x:c r="B28" s="18" t="str">
        <x:v>SC-04</x:v>
      </x:c>
      <x:c r="C28" s="18" t="str">
        <x:v>Area 2: harness and methods</x:v>
      </x:c>
      <x:c r="D28" s="30" t="str">
        <x:v>For review</x:v>
      </x:c>
      <x:c r="E28" s="30" t="str">
        <x:v>Not applicable</x:v>
      </x:c>
      <x:c r="F28" s="30" t="str">
        <x:v>Not started</x:v>
      </x:c>
      <x:c r="G28" s="30" t="str">
        <x:v>Not started</x:v>
      </x:c>
      <x:c r="H28" s="30" t="str">
        <x:v>Not tested</x:v>
      </x:c>
      <x:c r="I28" s="18" t="str">
        <x:v>Unassigned</x:v>
      </x:c>
      <x:c r="J28" s="18" t="str"/>
      <x:c r="K28" s="18" t="str">
        <x:v>Central 6-column heading + explanation.</x:v>
      </x:c>
      <x:c r="L28" s="18" t="str">
        <x:v>Second row, stronger visual emphasis.</x:v>
      </x:c>
      <x:c r="M28" s="18" t="str"/>
      <x:c r="N28" s="18" t="str">
        <x:v>INT-04</x:v>
      </x:c>
      <x:c r="O28" s="18" t="str">
        <x:v>SRC-01 §4 / T2</x:v>
      </x:c>
      <x:c r="P28" s="18" t="str">
        <x:v>HTML</x:v>
      </x:c>
    </x:row>
    <x:row r="29" ht="73" customHeight="1">
      <x:c r="A29" s="28" t="str">
        <x:v>SP-04-04</x:v>
      </x:c>
      <x:c r="B29" s="18" t="str">
        <x:v>SC-04</x:v>
      </x:c>
      <x:c r="C29" s="18" t="str">
        <x:v>Harness visual</x:v>
      </x:c>
      <x:c r="D29" s="30" t="str">
        <x:v>Not applicable</x:v>
      </x:c>
      <x:c r="E29" s="30" t="str">
        <x:v>Not applicable</x:v>
      </x:c>
      <x:c r="F29" s="30" t="str">
        <x:v>Not started</x:v>
      </x:c>
      <x:c r="G29" s="30" t="str">
        <x:v>Not started</x:v>
      </x:c>
      <x:c r="H29" s="30" t="str">
        <x:v>Not tested</x:v>
      </x:c>
      <x:c r="I29" s="18" t="str">
        <x:v>Unassigned</x:v>
      </x:c>
      <x:c r="J29" s="18" t="str"/>
      <x:c r="K29" s="18" t="str">
        <x:v>Center, largest visual element.</x:v>
      </x:c>
      <x:c r="L29" s="18" t="str">
        <x:v>Full content width; minimum readable labels. No rasterized labels.</x:v>
      </x:c>
      <x:c r="M29" s="18" t="str"/>
      <x:c r="N29" s="18" t="str">
        <x:v>INT-04</x:v>
      </x:c>
      <x:c r="O29" s="18" t="str">
        <x:v>Generic concepts from SRC-05; VIS-03</x:v>
      </x:c>
      <x:c r="P29" s="18" t="str">
        <x:v>SVG + DOM</x:v>
      </x:c>
    </x:row>
    <x:row r="30" ht="73" customHeight="1">
      <x:c r="A30" s="28" t="str">
        <x:v>SP-04-05</x:v>
      </x:c>
      <x:c r="B30" s="18" t="str">
        <x:v>SC-04</x:v>
      </x:c>
      <x:c r="C30" s="18" t="str">
        <x:v>Area 3: plan and train</x:v>
      </x:c>
      <x:c r="D30" s="30" t="str">
        <x:v>For review</x:v>
      </x:c>
      <x:c r="E30" s="30" t="str">
        <x:v>Not applicable</x:v>
      </x:c>
      <x:c r="F30" s="30" t="str">
        <x:v>Not started</x:v>
      </x:c>
      <x:c r="G30" s="30" t="str">
        <x:v>Not started</x:v>
      </x:c>
      <x:c r="H30" s="30" t="str">
        <x:v>Not tested</x:v>
      </x:c>
      <x:c r="I30" s="18" t="str">
        <x:v>Unassigned</x:v>
      </x:c>
      <x:c r="J30" s="18" t="str"/>
      <x:c r="K30" s="18" t="str">
        <x:v>Right 3 columns.</x:v>
      </x:c>
      <x:c r="L30" s="18" t="str">
        <x:v>Third compact row.</x:v>
      </x:c>
      <x:c r="M30" s="18" t="str"/>
      <x:c r="N30" s="18" t="str">
        <x:v>INT-04</x:v>
      </x:c>
      <x:c r="O30" s="18" t="str">
        <x:v>SRC-01 §4 / T3</x:v>
      </x:c>
      <x:c r="P30" s="18" t="str">
        <x:v>HTML</x:v>
      </x:c>
    </x:row>
    <x:row r="31" ht="73" customHeight="1">
      <x:c r="A31" s="28" t="str">
        <x:v>SP-04-06</x:v>
      </x:c>
      <x:c r="B31" s="18" t="str">
        <x:v>SC-04</x:v>
      </x:c>
      <x:c r="C31" s="18" t="str">
        <x:v>Tailoring + delivery baseline</x:v>
      </x:c>
      <x:c r="D31" s="30" t="str">
        <x:v>For review</x:v>
      </x:c>
      <x:c r="E31" s="30" t="str">
        <x:v>Not applicable</x:v>
      </x:c>
      <x:c r="F31" s="30" t="str">
        <x:v>Not started</x:v>
      </x:c>
      <x:c r="G31" s="30" t="str">
        <x:v>Not started</x:v>
      </x:c>
      <x:c r="H31" s="30" t="str">
        <x:v>Not tested</x:v>
      </x:c>
      <x:c r="I31" s="18" t="str">
        <x:v>Unassigned</x:v>
      </x:c>
      <x:c r="J31" s="18" t="str"/>
      <x:c r="K31" s="18" t="str">
        <x:v>One full-width band below areas.</x:v>
      </x:c>
      <x:c r="L31" s="18" t="str">
        <x:v>One compact explanation; expand formats only on request.</x:v>
      </x:c>
      <x:c r="M31" s="18" t="str"/>
      <x:c r="N31" s="18" t="str"/>
      <x:c r="O31" s="18" t="str">
        <x:v>SRC-03 Q4/Q9/Q10</x:v>
      </x:c>
      <x:c r="P31" s="18" t="str">
        <x:v>HTML</x:v>
      </x:c>
    </x:row>
    <x:row r="32" ht="73" customHeight="1">
      <x:c r="A32" s="28" t="str">
        <x:v>SP-04-07</x:v>
      </x:c>
      <x:c r="B32" s="18" t="str">
        <x:v>SC-04</x:v>
      </x:c>
      <x:c r="C32" s="18" t="str">
        <x:v>Scope statement + discussion link</x:v>
      </x:c>
      <x:c r="D32" s="30" t="str">
        <x:v>For review</x:v>
      </x:c>
      <x:c r="E32" s="30" t="str">
        <x:v>Not applicable</x:v>
      </x:c>
      <x:c r="F32" s="30" t="str">
        <x:v>Not started</x:v>
      </x:c>
      <x:c r="G32" s="30" t="str">
        <x:v>Not started</x:v>
      </x:c>
      <x:c r="H32" s="30" t="str">
        <x:v>Not tested</x:v>
      </x:c>
      <x:c r="I32" s="18" t="str">
        <x:v>Unassigned</x:v>
      </x:c>
      <x:c r="J32" s="18" t="str"/>
      <x:c r="K32" s="18" t="str">
        <x:v>Single low-emphasis line with valid #contact link.</x:v>
      </x:c>
      <x:c r="L32" s="18" t="str">
        <x:v>After delivery band; no repeated exclusions.</x:v>
      </x:c>
      <x:c r="M32" s="18" t="str"/>
      <x:c r="N32" s="18" t="str">
        <x:v>INT-09</x:v>
      </x:c>
      <x:c r="O32" s="18" t="str">
        <x:v>SRC-03 Q4/Q7</x:v>
      </x:c>
      <x:c r="P32" s="18" t="str">
        <x:v>HTML + control</x:v>
      </x:c>
    </x:row>
    <x:row r="33" ht="73" customHeight="1">
      <x:c r="A33" s="28" t="str">
        <x:v>SP-04-08</x:v>
      </x:c>
      <x:c r="B33" s="18" t="str">
        <x:v>SC-04</x:v>
      </x:c>
      <x:c r="C33" s="18" t="str">
        <x:v>Optional outcomes / decorative quote band</x:v>
      </x:c>
      <x:c r="D33" s="30" t="str">
        <x:v>Deferred</x:v>
      </x:c>
      <x:c r="E33" s="30" t="str">
        <x:v>Not applicable</x:v>
      </x:c>
      <x:c r="F33" s="30" t="str">
        <x:v>Not started</x:v>
      </x:c>
      <x:c r="G33" s="30" t="str">
        <x:v>Not started</x:v>
      </x:c>
      <x:c r="H33" s="30" t="str">
        <x:v>Not applicable</x:v>
      </x:c>
      <x:c r="I33" s="18" t="str">
        <x:v>Unassigned</x:v>
      </x:c>
      <x:c r="J33" s="18" t="str"/>
      <x:c r="K33" s="18" t="str">
        <x:v>Omit unless separately approved and supported.</x:v>
      </x:c>
      <x:c r="L33" s="18" t="str">
        <x:v>Omit; do not add another screen of vague claims.</x:v>
      </x:c>
      <x:c r="M33" s="18" t="str"/>
      <x:c r="N33" s="18" t="str"/>
      <x:c r="O33" s="18" t="str">
        <x:v>DEC-01</x:v>
      </x:c>
      <x:c r="P33" s="18" t="str">
        <x:v>Reserved</x:v>
      </x:c>
    </x:row>
    <x:row r="34" ht="73" customHeight="1">
      <x:c r="A34" s="28" t="str">
        <x:v>SP-05-01</x:v>
      </x:c>
      <x:c r="B34" s="18" t="str">
        <x:v>SC-05</x:v>
      </x:c>
      <x:c r="C34" s="18" t="str">
        <x:v>Business-first introduction</x:v>
      </x:c>
      <x:c r="D34" s="30" t="str">
        <x:v>For review</x:v>
      </x:c>
      <x:c r="E34" s="30" t="str">
        <x:v>Not applicable</x:v>
      </x:c>
      <x:c r="F34" s="30" t="str">
        <x:v>Not started</x:v>
      </x:c>
      <x:c r="G34" s="30" t="str">
        <x:v>Not started</x:v>
      </x:c>
      <x:c r="H34" s="30" t="str">
        <x:v>Not tested</x:v>
      </x:c>
      <x:c r="I34" s="18" t="str">
        <x:v>Unassigned</x:v>
      </x:c>
      <x:c r="J34" s="18" t="str"/>
      <x:c r="K34" s="18" t="str">
        <x:v>Left 5 columns.</x:v>
      </x:c>
      <x:c r="L34" s="18" t="str">
        <x:v>Top, before city art.</x:v>
      </x:c>
      <x:c r="M34" s="18" t="str"/>
      <x:c r="N34" s="18" t="str"/>
      <x:c r="O34" s="18" t="str">
        <x:v>SRC-01 §5</x:v>
      </x:c>
      <x:c r="P34" s="18" t="str">
        <x:v>HTML</x:v>
      </x:c>
    </x:row>
    <x:row r="35" ht="73" customHeight="1">
      <x:c r="A35" s="28" t="str">
        <x:v>SP-05-02</x:v>
      </x:c>
      <x:c r="B35" s="18" t="str">
        <x:v>SC-05</x:v>
      </x:c>
      <x:c r="C35" s="18" t="str">
        <x:v>Approved city / future portrait space</x:v>
      </x:c>
      <x:c r="D35" s="30" t="str">
        <x:v>Not applicable</x:v>
      </x:c>
      <x:c r="E35" s="30" t="str">
        <x:v>Not started</x:v>
      </x:c>
      <x:c r="F35" s="30" t="str">
        <x:v>Not started</x:v>
      </x:c>
      <x:c r="G35" s="30" t="str">
        <x:v>Not started</x:v>
      </x:c>
      <x:c r="H35" s="30" t="str">
        <x:v>Not tested</x:v>
      </x:c>
      <x:c r="I35" s="18" t="str">
        <x:v>Unassigned</x:v>
      </x:c>
      <x:c r="J35" s="18" t="str"/>
      <x:c r="K35" s="18" t="str">
        <x:v>Right 7 columns; person-free city by default.</x:v>
      </x:c>
      <x:c r="L35" s="18" t="str">
        <x:v>Shallow crop after introduction.</x:v>
      </x:c>
      <x:c r="M35" s="18" t="str">
        <x:v>ART-05</x:v>
      </x:c>
      <x:c r="N35" s="18" t="str">
        <x:v>INT-11</x:v>
      </x:c>
      <x:c r="O35" s="18" t="str">
        <x:v>SRC-03 Q8; identity held</x:v>
      </x:c>
      <x:c r="P35" s="18" t="str">
        <x:v>Image</x:v>
      </x:c>
    </x:row>
    <x:row r="36" ht="73" customHeight="1">
      <x:c r="A36" s="28" t="str">
        <x:v>SP-05-03</x:v>
      </x:c>
      <x:c r="B36" s="18" t="str">
        <x:v>SC-05</x:v>
      </x:c>
      <x:c r="C36" s="18" t="str">
        <x:v>18 years / sectors / current AI facts</x:v>
      </x:c>
      <x:c r="D36" s="30" t="str">
        <x:v>For review</x:v>
      </x:c>
      <x:c r="E36" s="30" t="str">
        <x:v>Not applicable</x:v>
      </x:c>
      <x:c r="F36" s="30" t="str">
        <x:v>Not started</x:v>
      </x:c>
      <x:c r="G36" s="30" t="str">
        <x:v>Not started</x:v>
      </x:c>
      <x:c r="H36" s="30" t="str">
        <x:v>Not tested</x:v>
      </x:c>
      <x:c r="I36" s="18" t="str">
        <x:v>Unassigned</x:v>
      </x:c>
      <x:c r="J36" s="18" t="str"/>
      <x:c r="K36" s="18" t="str">
        <x:v>A compact 3–4-part strip, not oversized stats.</x:v>
      </x:c>
      <x:c r="L36" s="18" t="str">
        <x:v>Two short columns or stacked facts; keep “18 years” exact.</x:v>
      </x:c>
      <x:c r="M36" s="18" t="str"/>
      <x:c r="N36" s="18" t="str"/>
      <x:c r="O36" s="18" t="str">
        <x:v>SRC-01 §5</x:v>
      </x:c>
      <x:c r="P36" s="18" t="str">
        <x:v>HTML</x:v>
      </x:c>
    </x:row>
    <x:row r="37" ht="73" customHeight="1">
      <x:c r="A37" s="28" t="str">
        <x:v>SP-05-04</x:v>
      </x:c>
      <x:c r="B37" s="18" t="str">
        <x:v>SC-05</x:v>
      </x:c>
      <x:c r="C37" s="18" t="str">
        <x:v>Market and operating experience</x:v>
      </x:c>
      <x:c r="D37" s="30" t="str">
        <x:v>For review</x:v>
      </x:c>
      <x:c r="E37" s="30" t="str">
        <x:v>Not applicable</x:v>
      </x:c>
      <x:c r="F37" s="30" t="str">
        <x:v>Not started</x:v>
      </x:c>
      <x:c r="G37" s="30" t="str">
        <x:v>Not started</x:v>
      </x:c>
      <x:c r="H37" s="30" t="str">
        <x:v>Not tested</x:v>
      </x:c>
      <x:c r="I37" s="18" t="str">
        <x:v>Unassigned</x:v>
      </x:c>
      <x:c r="J37" s="18" t="str"/>
      <x:c r="K37" s="18" t="str">
        <x:v>One editorial paragraph; hotels, restaurants, F&amp;B, real estate.</x:v>
      </x:c>
      <x:c r="L37" s="18" t="str">
        <x:v>Before AI-practice detail.</x:v>
      </x:c>
      <x:c r="M37" s="18" t="str"/>
      <x:c r="N37" s="18" t="str"/>
      <x:c r="O37" s="18" t="str">
        <x:v>SRC-01 §5; SRC-03 Q8</x:v>
      </x:c>
      <x:c r="P37" s="18" t="str">
        <x:v>HTML</x:v>
      </x:c>
    </x:row>
    <x:row r="38" ht="73" customHeight="1">
      <x:c r="A38" s="28" t="str">
        <x:v>SP-05-05</x:v>
      </x:c>
      <x:c r="B38" s="18" t="str">
        <x:v>SC-05</x:v>
      </x:c>
      <x:c r="C38" s="18" t="str">
        <x:v>Personal delivery + spoken Khmer</x:v>
      </x:c>
      <x:c r="D38" s="30" t="str">
        <x:v>For review</x:v>
      </x:c>
      <x:c r="E38" s="30" t="str">
        <x:v>Not applicable</x:v>
      </x:c>
      <x:c r="F38" s="30" t="str">
        <x:v>Not started</x:v>
      </x:c>
      <x:c r="G38" s="30" t="str">
        <x:v>Not started</x:v>
      </x:c>
      <x:c r="H38" s="30" t="str">
        <x:v>Not tested</x:v>
      </x:c>
      <x:c r="I38" s="18" t="str">
        <x:v>Unassigned</x:v>
      </x:c>
      <x:c r="J38" s="18" t="str"/>
      <x:c r="K38" s="18" t="str">
        <x:v>Paired with market paragraph; explain reasoning directly.</x:v>
      </x:c>
      <x:c r="L38" s="18" t="str">
        <x:v>Full width; recipients include whoever needs the help.</x:v>
      </x:c>
      <x:c r="M38" s="18" t="str"/>
      <x:c r="N38" s="18" t="str"/>
      <x:c r="O38" s="18" t="str">
        <x:v>SRC-03 Q4/Q11/Q14</x:v>
      </x:c>
      <x:c r="P38" s="18" t="str">
        <x:v>HTML</x:v>
      </x:c>
    </x:row>
    <x:row r="39" ht="73" customHeight="1">
      <x:c r="A39" s="28" t="str">
        <x:v>SP-05-06</x:v>
      </x:c>
      <x:c r="B39" s="18" t="str">
        <x:v>SC-05</x:v>
      </x:c>
      <x:c r="C39" s="18" t="str">
        <x:v>More about my experience</x:v>
      </x:c>
      <x:c r="D39" s="30" t="str">
        <x:v>For review</x:v>
      </x:c>
      <x:c r="E39" s="30" t="str">
        <x:v>Not applicable</x:v>
      </x:c>
      <x:c r="F39" s="30" t="str">
        <x:v>Not started</x:v>
      </x:c>
      <x:c r="G39" s="30" t="str">
        <x:v>Not started</x:v>
      </x:c>
      <x:c r="H39" s="30" t="str">
        <x:v>Not tested</x:v>
      </x:c>
      <x:c r="I39" s="18" t="str">
        <x:v>Unassigned</x:v>
      </x:c>
      <x:c r="J39" s="18" t="str"/>
      <x:c r="K39" s="18" t="str">
        <x:v>Link opens R4 and lands at it.</x:v>
      </x:c>
      <x:c r="L39" s="18" t="str">
        <x:v>Same behavior; visible focus on return.</x:v>
      </x:c>
      <x:c r="M39" s="18" t="str"/>
      <x:c r="N39" s="18" t="str">
        <x:v>INT-06; INT-09</x:v>
      </x:c>
      <x:c r="O39" s="18" t="str">
        <x:v>SRC-02 §4; SRC-08</x:v>
      </x:c>
      <x:c r="P39" s="18" t="str">
        <x:v>Control</x:v>
      </x:c>
    </x:row>
    <x:row r="40" ht="73" customHeight="1">
      <x:c r="A40" s="28" t="str">
        <x:v>SP-05-07</x:v>
      </x:c>
      <x:c r="B40" s="18" t="str">
        <x:v>SC-05</x:v>
      </x:c>
      <x:c r="C40" s="18" t="str">
        <x:v>Regional map / Cambodia-from-space inset</x:v>
      </x:c>
      <x:c r="D40" s="30" t="str">
        <x:v>Deferred</x:v>
      </x:c>
      <x:c r="E40" s="30" t="str">
        <x:v>Deferred</x:v>
      </x:c>
      <x:c r="F40" s="30" t="str">
        <x:v>Not started</x:v>
      </x:c>
      <x:c r="G40" s="30" t="str">
        <x:v>Not started</x:v>
      </x:c>
      <x:c r="H40" s="30" t="str">
        <x:v>Not applicable</x:v>
      </x:c>
      <x:c r="I40" s="18" t="str">
        <x:v>Unassigned</x:v>
      </x:c>
      <x:c r="J40" s="18" t="str"/>
      <x:c r="K40" s="18" t="str">
        <x:v>Optional accurate map only; otherwise collapse space.</x:v>
      </x:c>
      <x:c r="L40" s="18" t="str">
        <x:v>Omit by default; region/travel stays text.</x:v>
      </x:c>
      <x:c r="M40" s="18" t="str">
        <x:v>ART-10</x:v>
      </x:c>
      <x:c r="N40" s="18" t="str"/>
      <x:c r="O40" s="18" t="str">
        <x:v>DEC-06</x:v>
      </x:c>
      <x:c r="P40" s="18" t="str">
        <x:v>Reserved</x:v>
      </x:c>
    </x:row>
    <x:row r="41" ht="73" customHeight="1">
      <x:c r="A41" s="28" t="str">
        <x:v>SP-06-01</x:v>
      </x:c>
      <x:c r="B41" s="18" t="str">
        <x:v>SC-06</x:v>
      </x:c>
      <x:c r="C41" s="18" t="str">
        <x:v>Approach headline + operator perspective</x:v>
      </x:c>
      <x:c r="D41" s="30" t="str">
        <x:v>For review</x:v>
      </x:c>
      <x:c r="E41" s="30" t="str">
        <x:v>Not applicable</x:v>
      </x:c>
      <x:c r="F41" s="30" t="str">
        <x:v>Not started</x:v>
      </x:c>
      <x:c r="G41" s="30" t="str">
        <x:v>Not started</x:v>
      </x:c>
      <x:c r="H41" s="30" t="str">
        <x:v>Not tested</x:v>
      </x:c>
      <x:c r="I41" s="18" t="str">
        <x:v>Unassigned</x:v>
      </x:c>
      <x:c r="J41" s="18" t="str"/>
      <x:c r="K41" s="18" t="str">
        <x:v>Open intro, not a full hero repetition.</x:v>
      </x:c>
      <x:c r="L41" s="18" t="str">
        <x:v>Brief first block.</x:v>
      </x:c>
      <x:c r="M41" s="18" t="str"/>
      <x:c r="N41" s="18" t="str"/>
      <x:c r="O41" s="18" t="str">
        <x:v>SRC-02 §5</x:v>
      </x:c>
      <x:c r="P41" s="18" t="str">
        <x:v>HTML</x:v>
      </x:c>
    </x:row>
    <x:row r="42" ht="73" customHeight="1">
      <x:c r="A42" s="28" t="str">
        <x:v>SP-06-02</x:v>
      </x:c>
      <x:c r="B42" s="18" t="str">
        <x:v>SC-06</x:v>
      </x:c>
      <x:c r="C42" s="18" t="str">
        <x:v>Directed work / checking path</x:v>
      </x:c>
      <x:c r="D42" s="30" t="str">
        <x:v>Not applicable</x:v>
      </x:c>
      <x:c r="E42" s="30" t="str">
        <x:v>Not applicable</x:v>
      </x:c>
      <x:c r="F42" s="30" t="str">
        <x:v>Not started</x:v>
      </x:c>
      <x:c r="G42" s="30" t="str">
        <x:v>Not started</x:v>
      </x:c>
      <x:c r="H42" s="30" t="str">
        <x:v>Not tested</x:v>
      </x:c>
      <x:c r="I42" s="18" t="str">
        <x:v>Unassigned</x:v>
      </x:c>
      <x:c r="J42" s="18" t="str"/>
      <x:c r="K42" s="18" t="str">
        <x:v>Wide luminous path with meaningful labels.</x:v>
      </x:c>
      <x:c r="L42" s="18" t="str">
        <x:v>Compact vertical arrangement; no scaled-down illegible labels.</x:v>
      </x:c>
      <x:c r="M42" s="18" t="str"/>
      <x:c r="N42" s="18" t="str">
        <x:v>INT-05</x:v>
      </x:c>
      <x:c r="O42" s="18" t="str">
        <x:v>SRC-05 OperatorView; VIS-04</x:v>
      </x:c>
      <x:c r="P42" s="18" t="str">
        <x:v>SVG + HTML</x:v>
      </x:c>
    </x:row>
    <x:row r="43" ht="73" customHeight="1">
      <x:c r="A43" s="28" t="str">
        <x:v>SP-06-03</x:v>
      </x:c>
      <x:c r="B43" s="18" t="str">
        <x:v>SC-06</x:v>
      </x:c>
      <x:c r="C43" s="18" t="str">
        <x:v>Method reading: summary + full panel</x:v>
      </x:c>
      <x:c r="D43" s="30" t="str">
        <x:v>For review</x:v>
      </x:c>
      <x:c r="E43" s="30" t="str">
        <x:v>Not started</x:v>
      </x:c>
      <x:c r="F43" s="30" t="str">
        <x:v>Not started</x:v>
      </x:c>
      <x:c r="G43" s="30" t="str">
        <x:v>Not started</x:v>
      </x:c>
      <x:c r="H43" s="30" t="str">
        <x:v>Not tested</x:v>
      </x:c>
      <x:c r="I43" s="18" t="str">
        <x:v>Unassigned</x:v>
      </x:c>
      <x:c r="J43" s="18" t="str"/>
      <x:c r="K43" s="18" t="str">
        <x:v>One illustrated entry; panel opens in flow.</x:v>
      </x:c>
      <x:c r="L43" s="18" t="str">
        <x:v>2 columns if readable; 1 at 320px; panel full content width.</x:v>
      </x:c>
      <x:c r="M43" s="18" t="str">
        <x:v>ART-07</x:v>
      </x:c>
      <x:c r="N43" s="18" t="str">
        <x:v>INT-06; INT-09</x:v>
      </x:c>
      <x:c r="O43" s="18" t="str">
        <x:v>SRC-02 §5 / R1; SRC-03 Q16</x:v>
      </x:c>
      <x:c r="P43" s="18" t="str">
        <x:v>HTML + image</x:v>
      </x:c>
    </x:row>
    <x:row r="44" ht="73" customHeight="1">
      <x:c r="A44" s="28" t="str">
        <x:v>SP-06-04</x:v>
      </x:c>
      <x:c r="B44" s="18" t="str">
        <x:v>SC-06</x:v>
      </x:c>
      <x:c r="C44" s="18" t="str">
        <x:v>Concept reading: summary + full panel</x:v>
      </x:c>
      <x:c r="D44" s="30" t="str">
        <x:v>For review</x:v>
      </x:c>
      <x:c r="E44" s="30" t="str">
        <x:v>Not started</x:v>
      </x:c>
      <x:c r="F44" s="30" t="str">
        <x:v>Not started</x:v>
      </x:c>
      <x:c r="G44" s="30" t="str">
        <x:v>Not started</x:v>
      </x:c>
      <x:c r="H44" s="30" t="str">
        <x:v>Not tested</x:v>
      </x:c>
      <x:c r="I44" s="18" t="str">
        <x:v>Unassigned</x:v>
      </x:c>
      <x:c r="J44" s="18" t="str"/>
      <x:c r="K44" s="18" t="str">
        <x:v>One illustrated entry; panel opens in flow.</x:v>
      </x:c>
      <x:c r="L44" s="18" t="str">
        <x:v>2 columns if readable; 1 at 320px; panel full content width.</x:v>
      </x:c>
      <x:c r="M44" s="18" t="str">
        <x:v>ART-06</x:v>
      </x:c>
      <x:c r="N44" s="18" t="str">
        <x:v>INT-06; INT-09</x:v>
      </x:c>
      <x:c r="O44" s="18" t="str">
        <x:v>SRC-02 §5 / R2; SRC-03 Q16</x:v>
      </x:c>
      <x:c r="P44" s="18" t="str">
        <x:v>HTML + image</x:v>
      </x:c>
    </x:row>
    <x:row r="45" ht="73" customHeight="1">
      <x:c r="A45" s="28" t="str">
        <x:v>SP-06-05</x:v>
      </x:c>
      <x:c r="B45" s="18" t="str">
        <x:v>SC-06</x:v>
      </x:c>
      <x:c r="C45" s="18" t="str">
        <x:v>Technology reading: summary + full panel</x:v>
      </x:c>
      <x:c r="D45" s="30" t="str">
        <x:v>For review</x:v>
      </x:c>
      <x:c r="E45" s="30" t="str">
        <x:v>Not started</x:v>
      </x:c>
      <x:c r="F45" s="30" t="str">
        <x:v>Not started</x:v>
      </x:c>
      <x:c r="G45" s="30" t="str">
        <x:v>Not started</x:v>
      </x:c>
      <x:c r="H45" s="30" t="str">
        <x:v>Not tested</x:v>
      </x:c>
      <x:c r="I45" s="18" t="str">
        <x:v>Unassigned</x:v>
      </x:c>
      <x:c r="J45" s="18" t="str"/>
      <x:c r="K45" s="18" t="str">
        <x:v>One illustrated entry; panel opens in flow.</x:v>
      </x:c>
      <x:c r="L45" s="18" t="str">
        <x:v>2 columns if readable; 1 at 320px; panel full content width.</x:v>
      </x:c>
      <x:c r="M45" s="18" t="str">
        <x:v>ART-08</x:v>
      </x:c>
      <x:c r="N45" s="18" t="str">
        <x:v>INT-06; INT-09</x:v>
      </x:c>
      <x:c r="O45" s="18" t="str">
        <x:v>SRC-02 §5 / R3; SRC-03 Q16</x:v>
      </x:c>
      <x:c r="P45" s="18" t="str">
        <x:v>HTML + image</x:v>
      </x:c>
    </x:row>
    <x:row r="46" ht="73" customHeight="1">
      <x:c r="A46" s="28" t="str">
        <x:v>SP-06-06</x:v>
      </x:c>
      <x:c r="B46" s="18" t="str">
        <x:v>SC-06</x:v>
      </x:c>
      <x:c r="C46" s="18" t="str">
        <x:v>Experience reading: summary + full panel</x:v>
      </x:c>
      <x:c r="D46" s="30" t="str">
        <x:v>For review</x:v>
      </x:c>
      <x:c r="E46" s="30" t="str">
        <x:v>Not started</x:v>
      </x:c>
      <x:c r="F46" s="30" t="str">
        <x:v>Not started</x:v>
      </x:c>
      <x:c r="G46" s="30" t="str">
        <x:v>Not started</x:v>
      </x:c>
      <x:c r="H46" s="30" t="str">
        <x:v>Not tested</x:v>
      </x:c>
      <x:c r="I46" s="18" t="str">
        <x:v>Unassigned</x:v>
      </x:c>
      <x:c r="J46" s="18" t="str"/>
      <x:c r="K46" s="18" t="str">
        <x:v>One illustrated entry; panel opens in flow.</x:v>
      </x:c>
      <x:c r="L46" s="18" t="str">
        <x:v>2 columns if readable; 1 at 320px; panel full content width.</x:v>
      </x:c>
      <x:c r="M46" s="18" t="str">
        <x:v>ART-05</x:v>
      </x:c>
      <x:c r="N46" s="18" t="str">
        <x:v>INT-06; INT-09</x:v>
      </x:c>
      <x:c r="O46" s="18" t="str">
        <x:v>SRC-02 §5 / R4; SRC-03 Q16</x:v>
      </x:c>
      <x:c r="P46" s="18" t="str">
        <x:v>HTML + image</x:v>
      </x:c>
    </x:row>
    <x:row r="47" ht="73" customHeight="1">
      <x:c r="A47" s="28" t="str">
        <x:v>SP-06-07</x:v>
      </x:c>
      <x:c r="B47" s="18" t="str">
        <x:v>SC-06</x:v>
      </x:c>
      <x:c r="C47" s="18" t="str">
        <x:v>Close controls + in-page return behavior</x:v>
      </x:c>
      <x:c r="D47" s="30" t="str">
        <x:v>For review</x:v>
      </x:c>
      <x:c r="E47" s="30" t="str">
        <x:v>Not applicable</x:v>
      </x:c>
      <x:c r="F47" s="30" t="str">
        <x:v>Not started</x:v>
      </x:c>
      <x:c r="G47" s="30" t="str">
        <x:v>Not started</x:v>
      </x:c>
      <x:c r="H47" s="30" t="str">
        <x:v>Not tested</x:v>
      </x:c>
      <x:c r="I47" s="18" t="str">
        <x:v>Unassigned</x:v>
      </x:c>
      <x:c r="J47" s="18" t="str"/>
      <x:c r="K47" s="18" t="str">
        <x:v>Within each open topic.</x:v>
      </x:c>
      <x:c r="L47" s="18" t="str">
        <x:v>Close never loses place or hides behind mobile browser UI.</x:v>
      </x:c>
      <x:c r="M47" s="18" t="str"/>
      <x:c r="N47" s="18" t="str">
        <x:v>INT-06</x:v>
      </x:c>
      <x:c r="O47" s="18" t="str">
        <x:v>SRC-08</x:v>
      </x:c>
      <x:c r="P47" s="18" t="str">
        <x:v>Control</x:v>
      </x:c>
    </x:row>
    <x:row r="48" ht="73" customHeight="1">
      <x:c r="A48" s="28" t="str">
        <x:v>SP-06-08</x:v>
      </x:c>
      <x:c r="B48" s="18" t="str">
        <x:v>SC-06</x:v>
      </x:c>
      <x:c r="C48" s="18" t="str">
        <x:v>Approach horizon / chapter seam</x:v>
      </x:c>
      <x:c r="D48" s="30" t="str">
        <x:v>Not applicable</x:v>
      </x:c>
      <x:c r="E48" s="30" t="str">
        <x:v>Not started</x:v>
      </x:c>
      <x:c r="F48" s="30" t="str">
        <x:v>Not started</x:v>
      </x:c>
      <x:c r="G48" s="30" t="str">
        <x:v>Not started</x:v>
      </x:c>
      <x:c r="H48" s="30" t="str">
        <x:v>Not tested</x:v>
      </x:c>
      <x:c r="I48" s="18" t="str">
        <x:v>Unassigned</x:v>
      </x:c>
      <x:c r="J48" s="18" t="str"/>
      <x:c r="K48" s="18" t="str">
        <x:v>Shallow art behind the introduction and transition.</x:v>
      </x:c>
      <x:c r="L48" s="18" t="str">
        <x:v>Share/crop existing art; no duplicate tall mood block.</x:v>
      </x:c>
      <x:c r="M48" s="18" t="str">
        <x:v>ART-06</x:v>
      </x:c>
      <x:c r="N48" s="18" t="str">
        <x:v>INT-11</x:v>
      </x:c>
      <x:c r="O48" s="18" t="str">
        <x:v>Visual only</x:v>
      </x:c>
      <x:c r="P48" s="18" t="str">
        <x:v>Image + CSS</x:v>
      </x:c>
    </x:row>
    <x:row r="49" ht="73" customHeight="1">
      <x:c r="A49" s="28" t="str">
        <x:v>SP-07-01</x:v>
      </x:c>
      <x:c r="B49" s="18" t="str">
        <x:v>SC-07</x:v>
      </x:c>
      <x:c r="C49" s="18" t="str">
        <x:v>Engagement introduction</x:v>
      </x:c>
      <x:c r="D49" s="30" t="str">
        <x:v>For review</x:v>
      </x:c>
      <x:c r="E49" s="30" t="str">
        <x:v>Not applicable</x:v>
      </x:c>
      <x:c r="F49" s="30" t="str">
        <x:v>Not started</x:v>
      </x:c>
      <x:c r="G49" s="30" t="str">
        <x:v>Not started</x:v>
      </x:c>
      <x:c r="H49" s="30" t="str">
        <x:v>Not tested</x:v>
      </x:c>
      <x:c r="I49" s="18" t="str">
        <x:v>Unassigned</x:v>
      </x:c>
      <x:c r="J49" s="18" t="str"/>
      <x:c r="K49" s="18" t="str">
        <x:v>Above rail, brief.</x:v>
      </x:c>
      <x:c r="L49" s="18" t="str">
        <x:v>Before compact step list.</x:v>
      </x:c>
      <x:c r="M49" s="18" t="str"/>
      <x:c r="N49" s="18" t="str"/>
      <x:c r="O49" s="18" t="str">
        <x:v>SRC-02 §6</x:v>
      </x:c>
      <x:c r="P49" s="18" t="str">
        <x:v>HTML</x:v>
      </x:c>
    </x:row>
    <x:row r="50" ht="73" customHeight="1">
      <x:c r="A50" s="28" t="str">
        <x:v>SP-07-02</x:v>
      </x:c>
      <x:c r="B50" s="18" t="str">
        <x:v>SC-07</x:v>
      </x:c>
      <x:c r="C50" s="18" t="str">
        <x:v>Discuss: free conversation</x:v>
      </x:c>
      <x:c r="D50" s="30" t="str">
        <x:v>For review</x:v>
      </x:c>
      <x:c r="E50" s="30" t="str">
        <x:v>Not applicable</x:v>
      </x:c>
      <x:c r="F50" s="30" t="str">
        <x:v>Not started</x:v>
      </x:c>
      <x:c r="G50" s="30" t="str">
        <x:v>Not started</x:v>
      </x:c>
      <x:c r="H50" s="30" t="str">
        <x:v>Not tested</x:v>
      </x:c>
      <x:c r="I50" s="18" t="str">
        <x:v>Unassigned</x:v>
      </x:c>
      <x:c r="J50" s="18" t="str"/>
      <x:c r="K50" s="18" t="str">
        <x:v>One rail milestone.</x:v>
      </x:c>
      <x:c r="L50" s="18" t="str">
        <x:v>Listed name + reachable detailed panel.</x:v>
      </x:c>
      <x:c r="M50" s="18" t="str"/>
      <x:c r="N50" s="18" t="str">
        <x:v>INT-07</x:v>
      </x:c>
      <x:c r="O50" s="18" t="str">
        <x:v>SRC-03 Q5/Q13</x:v>
      </x:c>
      <x:c r="P50" s="18" t="str">
        <x:v>HTML</x:v>
      </x:c>
    </x:row>
    <x:row r="51" ht="73" customHeight="1">
      <x:c r="A51" s="28" t="str">
        <x:v>SP-07-03</x:v>
      </x:c>
      <x:c r="B51" s="18" t="str">
        <x:v>SC-07</x:v>
      </x:c>
      <x:c r="C51" s="18" t="str">
        <x:v>Propose: summary then scoped quote</x:v>
      </x:c>
      <x:c r="D51" s="30" t="str">
        <x:v>For review</x:v>
      </x:c>
      <x:c r="E51" s="30" t="str">
        <x:v>Not applicable</x:v>
      </x:c>
      <x:c r="F51" s="30" t="str">
        <x:v>Not started</x:v>
      </x:c>
      <x:c r="G51" s="30" t="str">
        <x:v>Not started</x:v>
      </x:c>
      <x:c r="H51" s="30" t="str">
        <x:v>Not tested</x:v>
      </x:c>
      <x:c r="I51" s="18" t="str">
        <x:v>Unassigned</x:v>
      </x:c>
      <x:c r="J51" s="18" t="str"/>
      <x:c r="K51" s="18" t="str">
        <x:v>One rail milestone.</x:v>
      </x:c>
      <x:c r="L51" s="18" t="str">
        <x:v>Listed name + reachable detailed panel.</x:v>
      </x:c>
      <x:c r="M51" s="18" t="str"/>
      <x:c r="N51" s="18" t="str">
        <x:v>INT-07</x:v>
      </x:c>
      <x:c r="O51" s="18" t="str">
        <x:v>SRC-03 Q5/Q13</x:v>
      </x:c>
      <x:c r="P51" s="18" t="str">
        <x:v>HTML</x:v>
      </x:c>
    </x:row>
    <x:row r="52" ht="73" customHeight="1">
      <x:c r="A52" s="28" t="str">
        <x:v>SP-07-04</x:v>
      </x:c>
      <x:c r="B52" s="18" t="str">
        <x:v>SC-07</x:v>
      </x:c>
      <x:c r="C52" s="18" t="str">
        <x:v>Agree: contract and payment arrangements</x:v>
      </x:c>
      <x:c r="D52" s="30" t="str">
        <x:v>For review</x:v>
      </x:c>
      <x:c r="E52" s="30" t="str">
        <x:v>Not applicable</x:v>
      </x:c>
      <x:c r="F52" s="30" t="str">
        <x:v>Not started</x:v>
      </x:c>
      <x:c r="G52" s="30" t="str">
        <x:v>Not started</x:v>
      </x:c>
      <x:c r="H52" s="30" t="str">
        <x:v>Not tested</x:v>
      </x:c>
      <x:c r="I52" s="18" t="str">
        <x:v>Unassigned</x:v>
      </x:c>
      <x:c r="J52" s="18" t="str"/>
      <x:c r="K52" s="18" t="str">
        <x:v>One rail milestone.</x:v>
      </x:c>
      <x:c r="L52" s="18" t="str">
        <x:v>Listed name + reachable detailed panel.</x:v>
      </x:c>
      <x:c r="M52" s="18" t="str"/>
      <x:c r="N52" s="18" t="str">
        <x:v>INT-07</x:v>
      </x:c>
      <x:c r="O52" s="18" t="str">
        <x:v>SRC-03 Q5/Q13</x:v>
      </x:c>
      <x:c r="P52" s="18" t="str">
        <x:v>HTML</x:v>
      </x:c>
    </x:row>
    <x:row r="53" ht="73" customHeight="1">
      <x:c r="A53" s="28" t="str">
        <x:v>SP-07-05</x:v>
      </x:c>
      <x:c r="B53" s="18" t="str">
        <x:v>SC-07</x:v>
      </x:c>
      <x:c r="C53" s="18" t="str">
        <x:v>Deliver: prepare materials, report and sessions</x:v>
      </x:c>
      <x:c r="D53" s="30" t="str">
        <x:v>For review</x:v>
      </x:c>
      <x:c r="E53" s="30" t="str">
        <x:v>Not applicable</x:v>
      </x:c>
      <x:c r="F53" s="30" t="str">
        <x:v>Not started</x:v>
      </x:c>
      <x:c r="G53" s="30" t="str">
        <x:v>Not started</x:v>
      </x:c>
      <x:c r="H53" s="30" t="str">
        <x:v>Not tested</x:v>
      </x:c>
      <x:c r="I53" s="18" t="str">
        <x:v>Unassigned</x:v>
      </x:c>
      <x:c r="J53" s="18" t="str"/>
      <x:c r="K53" s="18" t="str">
        <x:v>One rail milestone.</x:v>
      </x:c>
      <x:c r="L53" s="18" t="str">
        <x:v>Listed name + reachable detailed panel.</x:v>
      </x:c>
      <x:c r="M53" s="18" t="str"/>
      <x:c r="N53" s="18" t="str">
        <x:v>INT-07</x:v>
      </x:c>
      <x:c r="O53" s="18" t="str">
        <x:v>SRC-03 Q5/Q13</x:v>
      </x:c>
      <x:c r="P53" s="18" t="str">
        <x:v>HTML</x:v>
      </x:c>
    </x:row>
    <x:row r="54" ht="73" customHeight="1">
      <x:c r="A54" s="28" t="str">
        <x:v>SP-07-06</x:v>
      </x:c>
      <x:c r="B54" s="18" t="str">
        <x:v>SC-07</x:v>
      </x:c>
      <x:c r="C54" s="18" t="str">
        <x:v>Luminous rail + document cues</x:v>
      </x:c>
      <x:c r="D54" s="30" t="str">
        <x:v>Not applicable</x:v>
      </x:c>
      <x:c r="E54" s="30" t="str">
        <x:v>Not applicable</x:v>
      </x:c>
      <x:c r="F54" s="30" t="str">
        <x:v>Not started</x:v>
      </x:c>
      <x:c r="G54" s="30" t="str">
        <x:v>Not started</x:v>
      </x:c>
      <x:c r="H54" s="30" t="str">
        <x:v>Not tested</x:v>
      </x:c>
      <x:c r="I54" s="18" t="str">
        <x:v>Unassigned</x:v>
      </x:c>
      <x:c r="J54" s="18" t="str"/>
      <x:c r="K54" s="18" t="str">
        <x:v>Connects all four milestones.</x:v>
      </x:c>
      <x:c r="L54" s="18" t="str">
        <x:v>Vertical/compact rail; rich panels optional swipe.</x:v>
      </x:c>
      <x:c r="M54" s="18" t="str"/>
      <x:c r="N54" s="18" t="str">
        <x:v>INT-07</x:v>
      </x:c>
      <x:c r="O54" s="18" t="str">
        <x:v>VIS-06</x:v>
      </x:c>
      <x:c r="P54" s="18" t="str">
        <x:v>SVG + HTML</x:v>
      </x:c>
    </x:row>
    <x:row r="55" ht="73" customHeight="1">
      <x:c r="A55" s="28" t="str">
        <x:v>SP-07-07</x:v>
      </x:c>
      <x:c r="B55" s="18" t="str">
        <x:v>SC-07</x:v>
      </x:c>
      <x:c r="C55" s="18" t="str">
        <x:v>Free / separately agreed boundary</x:v>
      </x:c>
      <x:c r="D55" s="30" t="str">
        <x:v>For review</x:v>
      </x:c>
      <x:c r="E55" s="30" t="str">
        <x:v>Not applicable</x:v>
      </x:c>
      <x:c r="F55" s="30" t="str">
        <x:v>Not started</x:v>
      </x:c>
      <x:c r="G55" s="30" t="str">
        <x:v>Not started</x:v>
      </x:c>
      <x:c r="H55" s="30" t="str">
        <x:v>Not tested</x:v>
      </x:c>
      <x:c r="I55" s="18" t="str">
        <x:v>Unassigned</x:v>
      </x:c>
      <x:c r="J55" s="18" t="str"/>
      <x:c r="K55" s="18" t="str">
        <x:v>Single sentence below rail.</x:v>
      </x:c>
      <x:c r="L55" s="18" t="str">
        <x:v>Single compact statement, not another card stack.</x:v>
      </x:c>
      <x:c r="M55" s="18" t="str"/>
      <x:c r="N55" s="18" t="str"/>
      <x:c r="O55" s="18" t="str">
        <x:v>SRC-03 Q5/Q13</x:v>
      </x:c>
      <x:c r="P55" s="18" t="str">
        <x:v>HTML</x:v>
      </x:c>
    </x:row>
    <x:row r="56" ht="73" customHeight="1">
      <x:c r="A56" s="28" t="str">
        <x:v>SP-08-01</x:v>
      </x:c>
      <x:c r="B56" s="18" t="str">
        <x:v>SC-08</x:v>
      </x:c>
      <x:c r="C56" s="18" t="str">
        <x:v>FAQ heading + short context</x:v>
      </x:c>
      <x:c r="D56" s="30" t="str">
        <x:v>For review</x:v>
      </x:c>
      <x:c r="E56" s="30" t="str">
        <x:v>Not applicable</x:v>
      </x:c>
      <x:c r="F56" s="30" t="str">
        <x:v>Not started</x:v>
      </x:c>
      <x:c r="G56" s="30" t="str">
        <x:v>Not started</x:v>
      </x:c>
      <x:c r="H56" s="30" t="str">
        <x:v>Not tested</x:v>
      </x:c>
      <x:c r="I56" s="18" t="str">
        <x:v>Unassigned</x:v>
      </x:c>
      <x:c r="J56" s="18" t="str"/>
      <x:c r="K56" s="18" t="str">
        <x:v>Editorial heading left, optional supporting sentence right.</x:v>
      </x:c>
      <x:c r="L56" s="18" t="str">
        <x:v>Full width; no multi-line marketing preamble.</x:v>
      </x:c>
      <x:c r="M56" s="18" t="str"/>
      <x:c r="N56" s="18" t="str"/>
      <x:c r="O56" s="18" t="str">
        <x:v>SRC-02 §7</x:v>
      </x:c>
      <x:c r="P56" s="18" t="str">
        <x:v>HTML</x:v>
      </x:c>
    </x:row>
    <x:row r="57" ht="73" customHeight="1">
      <x:c r="A57" s="28" t="str">
        <x:v>SP-08-02</x:v>
      </x:c>
      <x:c r="B57" s="18" t="str">
        <x:v>SC-08</x:v>
      </x:c>
      <x:c r="C57" s="18" t="str">
        <x:v>Priority question summaries + answers</x:v>
      </x:c>
      <x:c r="D57" s="30" t="str">
        <x:v>For review</x:v>
      </x:c>
      <x:c r="E57" s="30" t="str">
        <x:v>Not applicable</x:v>
      </x:c>
      <x:c r="F57" s="30" t="str">
        <x:v>Not started</x:v>
      </x:c>
      <x:c r="G57" s="30" t="str">
        <x:v>Not started</x:v>
      </x:c>
      <x:c r="H57" s="30" t="str">
        <x:v>Not tested</x:v>
      </x:c>
      <x:c r="I57" s="18" t="str">
        <x:v>Unassigned</x:v>
      </x:c>
      <x:c r="J57" s="18" t="str"/>
      <x:c r="K57" s="18" t="str">
        <x:v>Grouped into logical columns.</x:v>
      </x:c>
      <x:c r="L57" s="18" t="str">
        <x:v>First six titles proposed; independent expand/collapse.</x:v>
      </x:c>
      <x:c r="M57" s="18" t="str"/>
      <x:c r="N57" s="18" t="str">
        <x:v>INT-08</x:v>
      </x:c>
      <x:c r="O57" s="18" t="str">
        <x:v>SRC-04 QUESTION_GROUPS; copy pass</x:v>
      </x:c>
      <x:c r="P57" s="18" t="str">
        <x:v>HTML + control</x:v>
      </x:c>
    </x:row>
    <x:row r="58" ht="73" customHeight="1">
      <x:c r="A58" s="28" t="str">
        <x:v>SP-08-03</x:v>
      </x:c>
      <x:c r="B58" s="18" t="str">
        <x:v>SC-08</x:v>
      </x:c>
      <x:c r="C58" s="18" t="str">
        <x:v>Remaining questions + reveal control</x:v>
      </x:c>
      <x:c r="D58" s="30" t="str">
        <x:v>For review</x:v>
      </x:c>
      <x:c r="E58" s="30" t="str">
        <x:v>Not applicable</x:v>
      </x:c>
      <x:c r="F58" s="30" t="str">
        <x:v>Not started</x:v>
      </x:c>
      <x:c r="G58" s="30" t="str">
        <x:v>Not started</x:v>
      </x:c>
      <x:c r="H58" s="30" t="str">
        <x:v>Not tested</x:v>
      </x:c>
      <x:c r="I58" s="18" t="str">
        <x:v>Unassigned</x:v>
      </x:c>
      <x:c r="J58" s="18" t="str"/>
      <x:c r="K58" s="18" t="str">
        <x:v>After initial groups, preserve all remaining entries.</x:v>
      </x:c>
      <x:c r="L58" s="18" t="str">
        <x:v>“View all questions” exposes remaining items in place.</x:v>
      </x:c>
      <x:c r="M58" s="18" t="str"/>
      <x:c r="N58" s="18" t="str">
        <x:v>INT-08</x:v>
      </x:c>
      <x:c r="O58" s="18" t="str">
        <x:v>SRC-04 QUESTION_GROUPS</x:v>
      </x:c>
      <x:c r="P58" s="18" t="str">
        <x:v>HTML + control</x:v>
      </x:c>
    </x:row>
    <x:row r="59" ht="73" customHeight="1">
      <x:c r="A59" s="28" t="str">
        <x:v>SP-08-04</x:v>
      </x:c>
      <x:c r="B59" s="18" t="str">
        <x:v>SC-08</x:v>
      </x:c>
      <x:c r="C59" s="18" t="str">
        <x:v>Bridge to contact</x:v>
      </x:c>
      <x:c r="D59" s="30" t="str">
        <x:v>For review</x:v>
      </x:c>
      <x:c r="E59" s="30" t="str">
        <x:v>Not applicable</x:v>
      </x:c>
      <x:c r="F59" s="30" t="str">
        <x:v>Not started</x:v>
      </x:c>
      <x:c r="G59" s="30" t="str">
        <x:v>Not started</x:v>
      </x:c>
      <x:c r="H59" s="30" t="str">
        <x:v>Not tested</x:v>
      </x:c>
      <x:c r="I59" s="18" t="str">
        <x:v>Unassigned</x:v>
      </x:c>
      <x:c r="J59" s="18" t="str"/>
      <x:c r="K59" s="18" t="str">
        <x:v>One quiet #contact link.</x:v>
      </x:c>
      <x:c r="L59" s="18" t="str">
        <x:v>No duplicate multi-step explanation.</x:v>
      </x:c>
      <x:c r="M59" s="18" t="str"/>
      <x:c r="N59" s="18" t="str">
        <x:v>INT-09</x:v>
      </x:c>
      <x:c r="O59" s="18" t="str">
        <x:v>SRC-02 §7–8</x:v>
      </x:c>
      <x:c r="P59" s="18" t="str">
        <x:v>HTML + control</x:v>
      </x:c>
    </x:row>
    <x:row r="60" ht="73" customHeight="1">
      <x:c r="A60" s="28" t="str">
        <x:v>SP-09-01</x:v>
      </x:c>
      <x:c r="B60" s="18" t="str">
        <x:v>SC-09</x:v>
      </x:c>
      <x:c r="C60" s="18" t="str">
        <x:v>Final invitation + free boundary</x:v>
      </x:c>
      <x:c r="D60" s="30" t="str">
        <x:v>For review</x:v>
      </x:c>
      <x:c r="E60" s="30" t="str">
        <x:v>Not applicable</x:v>
      </x:c>
      <x:c r="F60" s="30" t="str">
        <x:v>Not started</x:v>
      </x:c>
      <x:c r="G60" s="30" t="str">
        <x:v>Not started</x:v>
      </x:c>
      <x:c r="H60" s="30" t="str">
        <x:v>Not tested</x:v>
      </x:c>
      <x:c r="I60" s="18" t="str">
        <x:v>Unassigned</x:v>
      </x:c>
      <x:c r="J60" s="18" t="str"/>
      <x:c r="K60" s="18" t="str">
        <x:v>Left half over dark sky.</x:v>
      </x:c>
      <x:c r="L60" s="18" t="str">
        <x:v>First block; free versus separately agreed work stays clear.</x:v>
      </x:c>
      <x:c r="M60" s="18" t="str"/>
      <x:c r="N60" s="18" t="str"/>
      <x:c r="O60" s="18" t="str">
        <x:v>SRC-02 §8</x:v>
      </x:c>
      <x:c r="P60" s="18" t="str">
        <x:v>HTML</x:v>
      </x:c>
    </x:row>
    <x:row r="61" ht="73" customHeight="1">
      <x:c r="A61" s="28" t="str">
        <x:v>SP-09-02</x:v>
      </x:c>
      <x:c r="B61" s="18" t="str">
        <x:v>SC-09</x:v>
      </x:c>
      <x:c r="C61" s="18" t="str">
        <x:v>Earth-horizon return</x:v>
      </x:c>
      <x:c r="D61" s="30" t="str">
        <x:v>Not applicable</x:v>
      </x:c>
      <x:c r="E61" s="30" t="str">
        <x:v>Not started</x:v>
      </x:c>
      <x:c r="F61" s="30" t="str">
        <x:v>Not started</x:v>
      </x:c>
      <x:c r="G61" s="30" t="str">
        <x:v>Not started</x:v>
      </x:c>
      <x:c r="H61" s="30" t="str">
        <x:v>Not tested</x:v>
      </x:c>
      <x:c r="I61" s="18" t="str">
        <x:v>Unassigned</x:v>
      </x:c>
      <x:c r="J61" s="18" t="str"/>
      <x:c r="K61" s="18" t="str">
        <x:v>Low/right, paired with opening art.</x:v>
      </x:c>
      <x:c r="L61" s="18" t="str">
        <x:v>Shallow derivative crop, not a new full-screen poster.</x:v>
      </x:c>
      <x:c r="M61" s="18" t="str">
        <x:v>ART-01</x:v>
      </x:c>
      <x:c r="N61" s="18" t="str">
        <x:v>INT-11</x:v>
      </x:c>
      <x:c r="O61" s="18" t="str">
        <x:v>Visual only</x:v>
      </x:c>
      <x:c r="P61" s="18" t="str">
        <x:v>Image + CSS</x:v>
      </x:c>
    </x:row>
    <x:row r="62" ht="73" customHeight="1">
      <x:c r="A62" s="28" t="str">
        <x:v>SP-09-03</x:v>
      </x:c>
      <x:c r="B62" s="18" t="str">
        <x:v>SC-09</x:v>
      </x:c>
      <x:c r="C62" s="18" t="str">
        <x:v>Pending contact state</x:v>
      </x:c>
      <x:c r="D62" s="30" t="str">
        <x:v>For review</x:v>
      </x:c>
      <x:c r="E62" s="30" t="str">
        <x:v>Not applicable</x:v>
      </x:c>
      <x:c r="F62" s="30" t="str">
        <x:v>Not started</x:v>
      </x:c>
      <x:c r="G62" s="30" t="str">
        <x:v>Not started</x:v>
      </x:c>
      <x:c r="H62" s="30" t="str">
        <x:v>Not tested</x:v>
      </x:c>
      <x:c r="I62" s="18" t="str">
        <x:v>Unassigned</x:v>
      </x:c>
      <x:c r="J62" s="18" t="str"/>
      <x:c r="K62" s="18" t="str">
        <x:v>One visible status note; no inert buttons.</x:v>
      </x:c>
      <x:c r="L62" s="18" t="str">
        <x:v>Full width; collapse blank card spaces.</x:v>
      </x:c>
      <x:c r="M62" s="18" t="str"/>
      <x:c r="N62" s="18" t="str">
        <x:v>INT-10</x:v>
      </x:c>
      <x:c r="O62" s="18" t="str">
        <x:v>SRC-03 Q15</x:v>
      </x:c>
      <x:c r="P62" s="18" t="str">
        <x:v>HTML</x:v>
      </x:c>
    </x:row>
    <x:row r="63" ht="73" customHeight="1">
      <x:c r="A63" s="28" t="str">
        <x:v>SP-09-04</x:v>
      </x:c>
      <x:c r="B63" s="18" t="str">
        <x:v>SC-09</x:v>
      </x:c>
      <x:c r="C63" s="18" t="str">
        <x:v>Ready contact controls + QR</x:v>
      </x:c>
      <x:c r="D63" s="30" t="str">
        <x:v>Blocked</x:v>
      </x:c>
      <x:c r="E63" s="30" t="str">
        <x:v>Not applicable</x:v>
      </x:c>
      <x:c r="F63" s="30" t="str">
        <x:v>Not started</x:v>
      </x:c>
      <x:c r="G63" s="30" t="str">
        <x:v>Not started</x:v>
      </x:c>
      <x:c r="H63" s="30" t="str">
        <x:v>Not tested</x:v>
      </x:c>
      <x:c r="I63" s="18" t="str">
        <x:v>Unassigned</x:v>
      </x:c>
      <x:c r="J63" s="18" t="str"/>
      <x:c r="K63" s="18" t="str">
        <x:v>Approved Telegram / WhatsApp / email destinations only; QR secondary.</x:v>
      </x:c>
      <x:c r="L63" s="18" t="str">
        <x:v>Direct taps first, QR secondary; Facebook only when supplied.</x:v>
      </x:c>
      <x:c r="M63" s="18" t="str"/>
      <x:c r="N63" s="18" t="str">
        <x:v>INT-10</x:v>
      </x:c>
      <x:c r="O63" s="18" t="str">
        <x:v>SRC-03 Q15</x:v>
      </x:c>
      <x:c r="P63" s="18" t="str">
        <x:v>Control</x:v>
      </x:c>
    </x:row>
    <x:row r="64" ht="73" customHeight="1">
      <x:c r="A64" s="28" t="str">
        <x:v>SP-09-05</x:v>
      </x:c>
      <x:c r="B64" s="18" t="str">
        <x:v>SC-09</x:v>
      </x:c>
      <x:c r="C64" s="18" t="str">
        <x:v>Availability + spoken language</x:v>
      </x:c>
      <x:c r="D64" s="30" t="str">
        <x:v>For review</x:v>
      </x:c>
      <x:c r="E64" s="30" t="str">
        <x:v>Not applicable</x:v>
      </x:c>
      <x:c r="F64" s="30" t="str">
        <x:v>Not started</x:v>
      </x:c>
      <x:c r="G64" s="30" t="str">
        <x:v>Not started</x:v>
      </x:c>
      <x:c r="H64" s="30" t="str">
        <x:v>Not tested</x:v>
      </x:c>
      <x:c r="I64" s="18" t="str">
        <x:v>Unassigned</x:v>
      </x:c>
      <x:c r="J64" s="18" t="str"/>
      <x:c r="K64" s="18" t="str">
        <x:v>Below invitation.</x:v>
      </x:c>
      <x:c r="L64" s="18" t="str">
        <x:v>Wrapping plain text, never clipped chips.</x:v>
      </x:c>
      <x:c r="M64" s="18" t="str"/>
      <x:c r="N64" s="18" t="str"/>
      <x:c r="O64" s="18" t="str">
        <x:v>SRC-03 Q11–12</x:v>
      </x:c>
      <x:c r="P64" s="18" t="str">
        <x:v>HTML</x:v>
      </x:c>
    </x:row>
    <x:row r="65" ht="73" customHeight="1">
      <x:c r="A65" s="28" t="str">
        <x:v>SP-09-06</x:v>
      </x:c>
      <x:c r="B65" s="18" t="str">
        <x:v>SC-09</x:v>
      </x:c>
      <x:c r="C65" s="18" t="str">
        <x:v>Site footer / Home link</x:v>
      </x:c>
      <x:c r="D65" s="30" t="str">
        <x:v>For review</x:v>
      </x:c>
      <x:c r="E65" s="30" t="str">
        <x:v>Not applicable</x:v>
      </x:c>
      <x:c r="F65" s="30" t="str">
        <x:v>Not started</x:v>
      </x:c>
      <x:c r="G65" s="30" t="str">
        <x:v>Not started</x:v>
      </x:c>
      <x:c r="H65" s="30" t="str">
        <x:v>Not tested</x:v>
      </x:c>
      <x:c r="I65" s="18" t="str">
        <x:v>Unassigned</x:v>
      </x:c>
      <x:c r="J65" s="18" t="str"/>
      <x:c r="K65" s="18" t="str">
        <x:v>Existing shell footer, revised copy only.</x:v>
      </x:c>
      <x:c r="L65" s="18" t="str">
        <x:v>Compact vertical stack.</x:v>
      </x:c>
      <x:c r="M65" s="18" t="str"/>
      <x:c r="N65" s="18" t="str">
        <x:v>INT-09</x:v>
      </x:c>
      <x:c r="O65" s="18" t="str">
        <x:v>SRC-07; copy pass</x:v>
      </x:c>
      <x:c r="P65" s="18" t="str">
        <x:v>HTML + control</x:v>
      </x:c>
    </x:row>
    <x:row r="66" ht="73" customHeight="1">
      <x:c r="A66" s="28" t="str">
        <x:v>SP-00-01</x:v>
      </x:c>
      <x:c r="B66" s="18" t="str">
        <x:v>SC-00</x:v>
      </x:c>
      <x:c r="C66" s="18" t="str">
        <x:v>Existing navigation and skip link</x:v>
      </x:c>
      <x:c r="D66" s="30" t="str">
        <x:v>For review</x:v>
      </x:c>
      <x:c r="E66" s="30" t="str">
        <x:v>Not applicable</x:v>
      </x:c>
      <x:c r="F66" s="30" t="str">
        <x:v>Not started</x:v>
      </x:c>
      <x:c r="G66" s="30" t="str">
        <x:v>Not started</x:v>
      </x:c>
      <x:c r="H66" s="30" t="str">
        <x:v>Not tested</x:v>
      </x:c>
      <x:c r="I66" s="18" t="str">
        <x:v>Unassigned</x:v>
      </x:c>
      <x:c r="J66" s="18" t="str"/>
      <x:c r="K66" s="18" t="str">
        <x:v>Reuse MissionControlNavbar; do not copy mockup menu.</x:v>
      </x:c>
      <x:c r="L66" s="18" t="str">
        <x:v>Existing mobile nav; skip link remains reachable.</x:v>
      </x:c>
      <x:c r="M66" s="18" t="str"/>
      <x:c r="N66" s="18" t="str">
        <x:v>INT-09</x:v>
      </x:c>
      <x:c r="O66" s="18" t="str">
        <x:v>SRC-06–09</x:v>
      </x:c>
      <x:c r="P66" s="18" t="str">
        <x:v>Shared</x:v>
      </x:c>
    </x:row>
    <x:row r="67" ht="73" customHeight="1">
      <x:c r="A67" s="28" t="str">
        <x:v>SP-00-02</x:v>
      </x:c>
      <x:c r="B67" s="18" t="str">
        <x:v>SC-00</x:v>
      </x:c>
      <x:c r="C67" s="18" t="str">
        <x:v>Shared cosmic background / section seams</x:v>
      </x:c>
      <x:c r="D67" s="30" t="str">
        <x:v>For review</x:v>
      </x:c>
      <x:c r="E67" s="30" t="str">
        <x:v>Not applicable</x:v>
      </x:c>
      <x:c r="F67" s="30" t="str">
        <x:v>Not started</x:v>
      </x:c>
      <x:c r="G67" s="30" t="str">
        <x:v>Not started</x:v>
      </x:c>
      <x:c r="H67" s="30" t="str">
        <x:v>Not tested</x:v>
      </x:c>
      <x:c r="I67" s="18" t="str">
        <x:v>Unassigned</x:v>
      </x:c>
      <x:c r="J67" s="18" t="str"/>
      <x:c r="K67" s="18" t="str">
        <x:v>One shared background, local overlays.</x:v>
      </x:c>
      <x:c r="L67" s="18" t="str">
        <x:v>No new canvas or duplicate starfield.</x:v>
      </x:c>
      <x:c r="M67" s="18" t="str"/>
      <x:c r="N67" s="18" t="str">
        <x:v>INT-09</x:v>
      </x:c>
      <x:c r="O67" s="18" t="str">
        <x:v>SRC-06–09</x:v>
      </x:c>
      <x:c r="P67" s="18" t="str">
        <x:v>Shared</x:v>
      </x:c>
    </x:row>
    <x:row r="68" ht="73" customHeight="1">
      <x:c r="A68" s="28" t="str">
        <x:v>SP-00-03</x:v>
      </x:c>
      <x:c r="B68" s="18" t="str">
        <x:v>SC-00</x:v>
      </x:c>
      <x:c r="C68" s="18" t="str">
        <x:v>Global type / spacing / focus rules</x:v>
      </x:c>
      <x:c r="D68" s="30" t="str">
        <x:v>For review</x:v>
      </x:c>
      <x:c r="E68" s="30" t="str">
        <x:v>Not applicable</x:v>
      </x:c>
      <x:c r="F68" s="30" t="str">
        <x:v>Not started</x:v>
      </x:c>
      <x:c r="G68" s="30" t="str">
        <x:v>Not started</x:v>
      </x:c>
      <x:c r="H68" s="30" t="str">
        <x:v>Not tested</x:v>
      </x:c>
      <x:c r="I68" s="18" t="str">
        <x:v>Unassigned</x:v>
      </x:c>
      <x:c r="J68" s="18" t="str"/>
      <x:c r="K68" s="18" t="str">
        <x:v>Scoped .cl-consultation styles only.</x:v>
      </x:c>
      <x:c r="L68" s="18" t="str">
        <x:v>320px and text-resize fallback, visible focus.</x:v>
      </x:c>
      <x:c r="M68" s="18" t="str"/>
      <x:c r="N68" s="18" t="str">
        <x:v>INT-09</x:v>
      </x:c>
      <x:c r="O68" s="18" t="str">
        <x:v>SRC-06–09</x:v>
      </x:c>
      <x:c r="P68" s="18" t="str">
        <x:v>Shared</x:v>
      </x:c>
    </x:row>
    <x:row r="69" ht="73" customHeight="1">
      <x:c r="A69" s="28" t="str">
        <x:v>SP-00-04</x:v>
      </x:c>
      <x:c r="B69" s="18" t="str">
        <x:v>SC-00</x:v>
      </x:c>
      <x:c r="C69" s="18" t="str">
        <x:v>Page title / description / social metadata</x:v>
      </x:c>
      <x:c r="D69" s="30" t="str">
        <x:v>For review</x:v>
      </x:c>
      <x:c r="E69" s="30" t="str">
        <x:v>Not applicable</x:v>
      </x:c>
      <x:c r="F69" s="30" t="str">
        <x:v>Not started</x:v>
      </x:c>
      <x:c r="G69" s="30" t="str">
        <x:v>Not started</x:v>
      </x:c>
      <x:c r="H69" s="30" t="str">
        <x:v>Not tested</x:v>
      </x:c>
      <x:c r="I69" s="18" t="str">
        <x:v>Unassigned</x:v>
      </x:c>
      <x:c r="J69" s="18" t="str"/>
      <x:c r="K69" s="18" t="str">
        <x:v>Business-first approved wording; preserve noindex hold.</x:v>
      </x:c>
      <x:c r="L69" s="18" t="str">
        <x:v>Same metadata; no duplicated implementation.</x:v>
      </x:c>
      <x:c r="M69" s="18" t="str"/>
      <x:c r="N69" s="18" t="str">
        <x:v>INT-09</x:v>
      </x:c>
      <x:c r="O69" s="18" t="str">
        <x:v>SRC-06–09</x:v>
      </x:c>
      <x:c r="P69" s="18" t="str">
        <x:v>Shared</x:v>
      </x:c>
    </x:row>
    <x:row r="70" ht="73" customHeight="1">
      <x:c r="A70" s="28" t="str">
        <x:v>SP-00-05</x:v>
      </x:c>
      <x:c r="B70" s="18" t="str">
        <x:v>SC-00</x:v>
      </x:c>
      <x:c r="C70" s="18" t="str">
        <x:v>Route and anchor integration</x:v>
      </x:c>
      <x:c r="D70" s="30" t="str">
        <x:v>For review</x:v>
      </x:c>
      <x:c r="E70" s="30" t="str">
        <x:v>Not applicable</x:v>
      </x:c>
      <x:c r="F70" s="30" t="str">
        <x:v>Not started</x:v>
      </x:c>
      <x:c r="G70" s="30" t="str">
        <x:v>Not started</x:v>
      </x:c>
      <x:c r="H70" s="30" t="str">
        <x:v>Not tested</x:v>
      </x:c>
      <x:c r="I70" s="18" t="str">
        <x:v>Unassigned</x:v>
      </x:c>
      <x:c r="J70" s="18" t="str"/>
      <x:c r="K70" s="18" t="str">
        <x:v>Preserve /ai-consultation and all canonical hashes.</x:v>
      </x:c>
      <x:c r="L70" s="18" t="str">
        <x:v>Test cold deep links and browser Back.</x:v>
      </x:c>
      <x:c r="M70" s="18" t="str"/>
      <x:c r="N70" s="18" t="str">
        <x:v>INT-09</x:v>
      </x:c>
      <x:c r="O70" s="18" t="str">
        <x:v>SRC-06–09</x:v>
      </x:c>
      <x:c r="P70" s="18" t="str">
        <x:v>Shared</x:v>
      </x:c>
    </x:row>
    <x:row r="71" ht="73" customHeight="1">
      <x:c r="A71" s="28" t="str">
        <x:v>SP-10-01</x:v>
      </x:c>
      <x:c r="B71" s="18" t="str">
        <x:v>SC-10</x:v>
      </x:c>
      <x:c r="C71" s="18" t="str">
        <x:v>Homepage invitation panel</x:v>
      </x:c>
      <x:c r="D71" s="30" t="str">
        <x:v>Deferred</x:v>
      </x:c>
      <x:c r="E71" s="30" t="str">
        <x:v>Deferred</x:v>
      </x:c>
      <x:c r="F71" s="30" t="str">
        <x:v>Deferred</x:v>
      </x:c>
      <x:c r="G71" s="30" t="str">
        <x:v>Deferred</x:v>
      </x:c>
      <x:c r="H71" s="30" t="str">
        <x:v>Not applicable</x:v>
      </x:c>
      <x:c r="I71" s="18" t="str">
        <x:v>Unassigned</x:v>
      </x:c>
      <x:c r="J71" s="18" t="str"/>
      <x:c r="K71" s="18" t="str">
        <x:v>After existing moon-led opening, immediately before MoonSignalShowcase, per earlier seam; recheck before use.</x:v>
      </x:c>
      <x:c r="L71" s="18" t="str">
        <x:v>Copy/action first; compact reused Earth crop.</x:v>
      </x:c>
      <x:c r="M71" s="18" t="str">
        <x:v>ART-01</x:v>
      </x:c>
      <x:c r="N71" s="18" t="str">
        <x:v>INT-09</x:v>
      </x:c>
      <x:c r="O71" s="18" t="str">
        <x:v>SRC-10; owner placement direction</x:v>
      </x:c>
      <x:c r="P71" s="18" t="str">
        <x:v>Deferred</x:v>
      </x:c>
    </x:row>
    <x:row r="72" ht="73" customHeight="1">
      <x:c r="A72" s="28" t="str">
        <x:v>SP-10-02</x:v>
      </x:c>
      <x:c r="B72" s="18" t="str">
        <x:v>SC-10</x:v>
      </x:c>
      <x:c r="C72" s="18" t="str">
        <x:v>Homepage route links + regression</x:v>
      </x:c>
      <x:c r="D72" s="30" t="str">
        <x:v>Deferred</x:v>
      </x:c>
      <x:c r="E72" s="30" t="str">
        <x:v>Not applicable</x:v>
      </x:c>
      <x:c r="F72" s="30" t="str">
        <x:v>Deferred</x:v>
      </x:c>
      <x:c r="G72" s="30" t="str">
        <x:v>Deferred</x:v>
      </x:c>
      <x:c r="H72" s="30" t="str">
        <x:v>Not applicable</x:v>
      </x:c>
      <x:c r="I72" s="18" t="str">
        <x:v>Unassigned</x:v>
      </x:c>
      <x:c r="J72" s="18" t="str"/>
      <x:c r="K72" s="18" t="str">
        <x:v>/ai-consultation and /ai-consultation#contact only; no product section replacement.</x:v>
      </x:c>
      <x:c r="L72" s="18" t="str">
        <x:v>Existing home page still works and reads in order.</x:v>
      </x:c>
      <x:c r="M72" s="18" t="str"/>
      <x:c r="N72" s="18" t="str">
        <x:v>INT-09</x:v>
      </x:c>
      <x:c r="O72" s="18" t="str">
        <x:v>SRC-10; owner placement direction</x:v>
      </x:c>
      <x:c r="P72" s="18" t="str">
        <x:v>Deferred</x:v>
      </x:c>
    </x:row>
  </x:sheetData>
  <x:mergeCells>
    <x:mergeCell ref="A1:I1"/>
    <x:mergeCell ref="A2:I2"/>
  </x:mergeCells>
  <x:conditionalFormatting sqref="D5:D72">
    <x:cfRule type="expression" dxfId="45" priority="1">
      <x:formula>D5="Approved"</x:formula>
    </x:cfRule>
    <x:cfRule type="expression" dxfId="46" priority="2">
      <x:formula>D5="Done"</x:formula>
    </x:cfRule>
    <x:cfRule type="expression" dxfId="47" priority="3">
      <x:formula>D5="Pass"</x:formula>
    </x:cfRule>
    <x:cfRule type="expression" dxfId="48" priority="4">
      <x:formula>D5="Blocked"</x:formula>
    </x:cfRule>
    <x:cfRule type="expression" dxfId="49" priority="5">
      <x:formula>D5="Fail"</x:formula>
    </x:cfRule>
    <x:cfRule type="expression" dxfId="50" priority="6">
      <x:formula>D5="For review"</x:formula>
    </x:cfRule>
    <x:cfRule type="expression" dxfId="51" priority="7">
      <x:formula>D5="Pending"</x:formula>
    </x:cfRule>
    <x:cfRule type="expression" dxfId="52" priority="8">
      <x:formula>D5="Deferred"</x:formula>
    </x:cfRule>
    <x:cfRule type="expression" dxfId="53" priority="9">
      <x:formula>D5="Not applicable"</x:formula>
    </x:cfRule>
  </x:conditionalFormatting>
  <x:conditionalFormatting sqref="E5:E72">
    <x:cfRule type="expression" dxfId="54" priority="10">
      <x:formula>E5="Approved"</x:formula>
    </x:cfRule>
    <x:cfRule type="expression" dxfId="55" priority="11">
      <x:formula>E5="Done"</x:formula>
    </x:cfRule>
    <x:cfRule type="expression" dxfId="56" priority="12">
      <x:formula>E5="Pass"</x:formula>
    </x:cfRule>
    <x:cfRule type="expression" dxfId="57" priority="13">
      <x:formula>E5="Blocked"</x:formula>
    </x:cfRule>
    <x:cfRule type="expression" dxfId="58" priority="14">
      <x:formula>E5="Fail"</x:formula>
    </x:cfRule>
    <x:cfRule type="expression" dxfId="59" priority="15">
      <x:formula>E5="For review"</x:formula>
    </x:cfRule>
    <x:cfRule type="expression" dxfId="60" priority="16">
      <x:formula>E5="Pending"</x:formula>
    </x:cfRule>
    <x:cfRule type="expression" dxfId="61" priority="17">
      <x:formula>E5="Deferred"</x:formula>
    </x:cfRule>
    <x:cfRule type="expression" dxfId="62" priority="18">
      <x:formula>E5="Not applicable"</x:formula>
    </x:cfRule>
  </x:conditionalFormatting>
  <x:conditionalFormatting sqref="F5:F72">
    <x:cfRule type="expression" dxfId="63" priority="19">
      <x:formula>F5="Approved"</x:formula>
    </x:cfRule>
    <x:cfRule type="expression" dxfId="64" priority="20">
      <x:formula>F5="Done"</x:formula>
    </x:cfRule>
    <x:cfRule type="expression" dxfId="65" priority="21">
      <x:formula>F5="Pass"</x:formula>
    </x:cfRule>
    <x:cfRule type="expression" dxfId="66" priority="22">
      <x:formula>F5="Blocked"</x:formula>
    </x:cfRule>
    <x:cfRule type="expression" dxfId="67" priority="23">
      <x:formula>F5="Fail"</x:formula>
    </x:cfRule>
    <x:cfRule type="expression" dxfId="68" priority="24">
      <x:formula>F5="For review"</x:formula>
    </x:cfRule>
    <x:cfRule type="expression" dxfId="69" priority="25">
      <x:formula>F5="Pending"</x:formula>
    </x:cfRule>
    <x:cfRule type="expression" dxfId="70" priority="26">
      <x:formula>F5="Deferred"</x:formula>
    </x:cfRule>
    <x:cfRule type="expression" dxfId="71" priority="27">
      <x:formula>F5="Not applicable"</x:formula>
    </x:cfRule>
  </x:conditionalFormatting>
  <x:conditionalFormatting sqref="G5:G72">
    <x:cfRule type="expression" dxfId="72" priority="28">
      <x:formula>G5="Approved"</x:formula>
    </x:cfRule>
    <x:cfRule type="expression" dxfId="73" priority="29">
      <x:formula>G5="Done"</x:formula>
    </x:cfRule>
    <x:cfRule type="expression" dxfId="74" priority="30">
      <x:formula>G5="Pass"</x:formula>
    </x:cfRule>
    <x:cfRule type="expression" dxfId="75" priority="31">
      <x:formula>G5="Blocked"</x:formula>
    </x:cfRule>
    <x:cfRule type="expression" dxfId="76" priority="32">
      <x:formula>G5="Fail"</x:formula>
    </x:cfRule>
    <x:cfRule type="expression" dxfId="77" priority="33">
      <x:formula>G5="For review"</x:formula>
    </x:cfRule>
    <x:cfRule type="expression" dxfId="78" priority="34">
      <x:formula>G5="Pending"</x:formula>
    </x:cfRule>
    <x:cfRule type="expression" dxfId="79" priority="35">
      <x:formula>G5="Deferred"</x:formula>
    </x:cfRule>
    <x:cfRule type="expression" dxfId="80" priority="36">
      <x:formula>G5="Not applicable"</x:formula>
    </x:cfRule>
  </x:conditionalFormatting>
  <x:conditionalFormatting sqref="H5:H72">
    <x:cfRule type="expression" dxfId="81" priority="37">
      <x:formula>H5="Approved"</x:formula>
    </x:cfRule>
    <x:cfRule type="expression" dxfId="82" priority="38">
      <x:formula>H5="Done"</x:formula>
    </x:cfRule>
    <x:cfRule type="expression" dxfId="83" priority="39">
      <x:formula>H5="Pass"</x:formula>
    </x:cfRule>
    <x:cfRule type="expression" dxfId="84" priority="40">
      <x:formula>H5="Blocked"</x:formula>
    </x:cfRule>
    <x:cfRule type="expression" dxfId="85" priority="41">
      <x:formula>H5="Fail"</x:formula>
    </x:cfRule>
    <x:cfRule type="expression" dxfId="86" priority="42">
      <x:formula>H5="For review"</x:formula>
    </x:cfRule>
    <x:cfRule type="expression" dxfId="87" priority="43">
      <x:formula>H5="Pending"</x:formula>
    </x:cfRule>
    <x:cfRule type="expression" dxfId="88" priority="44">
      <x:formula>H5="Deferred"</x:formula>
    </x:cfRule>
    <x:cfRule type="expression" dxfId="89" priority="45">
      <x:formula>H5="Not applicable"</x:formula>
    </x:cfRule>
  </x:conditionalFormatting>
  <x:dataValidations count="5">
    <x:dataValidation type="list" sqref="D5:D72">
      <x:formula1>"Not started,In progress,For review,Approved,Blocked,Deferred,Not applicable"</x:formula1>
    </x:dataValidation>
    <x:dataValidation type="list" sqref="E5:E72">
      <x:formula1>"Not started,In progress,For review,Approved,Blocked,Deferred,Not applicable"</x:formula1>
    </x:dataValidation>
    <x:dataValidation type="list" sqref="F5:F72">
      <x:formula1>"Not started,In progress,For review,Approved,Blocked,Deferred,Not applicable"</x:formula1>
    </x:dataValidation>
    <x:dataValidation type="list" sqref="G5:G72">
      <x:formula1>"Not started,In progress,For review,Approved,Blocked,Deferred,Not applicable"</x:formula1>
    </x:dataValidation>
    <x:dataValidation type="list" sqref="H5:H72">
      <x:formula1>"Not tested,Pass,Fail,Blocked,Not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8edb5fe29649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1" hidden="0" customWidth="1"/>
    <x:col min="3" max="3" width="16" hidden="0" customWidth="1"/>
    <x:col min="4" max="4" width="17" hidden="0" customWidth="1"/>
    <x:col min="5" max="5" width="28" hidden="0" customWidth="1"/>
    <x:col min="6" max="6" width="20" hidden="0" customWidth="1"/>
    <x:col min="7" max="7" width="25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32" hidden="0" customWidth="1"/>
    <x:col min="13" max="13" width="20" hidden="0" customWidth="1"/>
    <x:col min="14" max="14" width="34" hidden="0" customWidth="1"/>
    <x:col min="15" max="15" width="34" hidden="0" customWidth="1"/>
    <x:col min="16" max="16" width="36" hidden="0" customWidth="1"/>
    <x:col min="17" max="17" width="38" hidden="0" customWidth="1"/>
  </x:cols>
  <x:sheetData>
    <x:row r="1" ht="30" customHeight="1">
      <x:c r="A1" s="4" t="str">
        <x:v>ARTWORK  /  CURIOUSLABS CINEMATIC BUILD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11" t="str">
        <x:v>Reference mockups are not production art. Text-free masters and desktop/mobile crops still need creation, provenance and approval.</x:v>
      </x:c>
      <x:c r="B2" s="11"/>
      <x:c r="C2" s="11"/>
      <x:c r="D2" s="11"/>
      <x:c r="E2" s="11"/>
      <x:c r="F2" s="11"/>
      <x:c r="G2" s="11"/>
      <x:c r="H2" s="11"/>
      <x:c r="I2" s="11"/>
    </x:row>
    <x:row r="4" ht="32" customHeight="1">
      <x:c r="A4" s="24" t="str">
        <x:v>Art ID</x:v>
      </x:c>
      <x:c r="B4" s="24" t="str">
        <x:v>Artwork</x:v>
      </x:c>
      <x:c r="C4" s="24" t="str">
        <x:v>Scope</x:v>
      </x:c>
      <x:c r="D4" s="24" t="str">
        <x:v>Status</x:v>
      </x:c>
      <x:c r="E4" s="24" t="str">
        <x:v>Scenes</x:v>
      </x:c>
      <x:c r="F4" s="24" t="str">
        <x:v>Reference</x:v>
      </x:c>
      <x:c r="G4" s="24" t="str">
        <x:v>Type</x:v>
      </x:c>
      <x:c r="H4" s="24" t="str">
        <x:v>Desktop source / crop</x:v>
      </x:c>
      <x:c r="I4" s="24" t="str">
        <x:v>Phone source / crop</x:v>
      </x:c>
      <x:c r="J4" s="24" t="str">
        <x:v>Text-safe zone</x:v>
      </x:c>
      <x:c r="K4" s="24" t="str">
        <x:v>Production brief</x:v>
      </x:c>
      <x:c r="L4" s="24" t="str">
        <x:v>Source / rights</x:v>
      </x:c>
      <x:c r="M4" s="24" t="str">
        <x:v>Owner</x:v>
      </x:c>
      <x:c r="N4" s="24" t="str">
        <x:v>Desktop file</x:v>
      </x:c>
      <x:c r="O4" s="24" t="str">
        <x:v>Phone file</x:v>
      </x:c>
      <x:c r="P4" s="24" t="str">
        <x:v>Alt / caption decision</x:v>
      </x:c>
      <x:c r="Q4" s="24" t="str">
        <x:v>Approval evidence</x:v>
      </x:c>
    </x:row>
    <x:row r="5" ht="106" customHeight="1">
      <x:c r="A5" s="28" t="str">
        <x:v>ART-01</x:v>
      </x:c>
      <x:c r="B5" s="18" t="str">
        <x:v>Earth-at-night / Asia horizon</x:v>
      </x:c>
      <x:c r="C5" s="18" t="str">
        <x:v>Core</x:v>
      </x:c>
      <x:c r="D5" s="30" t="str">
        <x:v>Not started</x:v>
      </x:c>
      <x:c r="E5" s="18" t="str">
        <x:v>SC-01; SC-09; SC-10</x:v>
      </x:c>
      <x:c r="F5" s="18" t="str">
        <x:v>REF-00; REF-05</x:v>
      </x:c>
      <x:c r="G5" s="18" t="str">
        <x:v>Raster master + derivatives</x:v>
      </x:c>
      <x:c r="H5" s="18" t="str">
        <x:v>2560×1440 starting master; web candidate 1920/2560 widths.</x:v>
      </x:c>
      <x:c r="I5" s="18" t="str">
        <x:v>Separate 1080×1440 portrait crop; export 640/960 widths.</x:v>
      </x:c>
      <x:c r="J5" s="18" t="str">
        <x:v>Dark left 50–55% on desktop; upper 55% on phone. Bright rim lower/right.</x:v>
      </x:c>
      <x:c r="K5" s="18" t="str">
        <x:v>Generate text-free mood art; no labels, borders, buttons, people or UI. Reuse as hero and final horizon; one source, separate crops.</x:v>
      </x:c>
      <x:c r="L5" s="18" t="str">
        <x:v>Pending</x:v>
      </x:c>
      <x:c r="M5" s="18" t="str">
        <x:v>Unassigned</x:v>
      </x:c>
      <x:c r="N5" s="18" t="str"/>
      <x:c r="O5" s="18" t="str"/>
      <x:c r="P5" s="18" t="str"/>
      <x:c r="Q5" s="18" t="str"/>
    </x:row>
    <x:row r="6" ht="106" customHeight="1">
      <x:c r="A6" s="28" t="str">
        <x:v>ART-02</x:v>
      </x:c>
      <x:c r="B6" s="18" t="str">
        <x:v>Technical doorway vista</x:v>
      </x:c>
      <x:c r="C6" s="18" t="str">
        <x:v>Core</x:v>
      </x:c>
      <x:c r="D6" s="30" t="str">
        <x:v>Not started</x:v>
      </x:c>
      <x:c r="E6" s="18" t="str">
        <x:v>SC-02</x:v>
      </x:c>
      <x:c r="F6" s="18" t="str">
        <x:v>REF-01</x:v>
      </x:c>
      <x:c r="G6" s="18" t="str">
        <x:v>Raster insert</x:v>
      </x:c>
      <x:c r="H6" s="18" t="str">
        <x:v>1000×1400 portrait source; crop into the outer third of door card.</x:v>
      </x:c>
      <x:c r="I6" s="18" t="str">
        <x:v>640×900 derivative; frame built as DOM, not baked typography.</x:v>
      </x:c>
      <x:c r="J6" s="18" t="str">
        <x:v>Dark frame edge adjoining copy.</x:v>
      </x:c>
      <x:c r="K6" s="18" t="str">
        <x:v>Blue/cyan imagined city/space view; not a real office or client site. Door frame, glow and opening movement live in VIS-01.</x:v>
      </x:c>
      <x:c r="L6" s="18" t="str">
        <x:v>Pending</x:v>
      </x:c>
      <x:c r="M6" s="18" t="str">
        <x:v>Unassigned</x:v>
      </x:c>
      <x:c r="N6" s="18" t="str"/>
      <x:c r="O6" s="18" t="str"/>
      <x:c r="P6" s="18" t="str"/>
      <x:c r="Q6" s="18" t="str"/>
    </x:row>
    <x:row r="7" ht="106" customHeight="1">
      <x:c r="A7" s="28" t="str">
        <x:v>ART-03</x:v>
      </x:c>
      <x:c r="B7" s="18" t="str">
        <x:v>Business doorway vista</x:v>
      </x:c>
      <x:c r="C7" s="18" t="str">
        <x:v>Core</x:v>
      </x:c>
      <x:c r="D7" s="30" t="str">
        <x:v>Not started</x:v>
      </x:c>
      <x:c r="E7" s="18" t="str">
        <x:v>SC-02</x:v>
      </x:c>
      <x:c r="F7" s="18" t="str">
        <x:v>REF-01</x:v>
      </x:c>
      <x:c r="G7" s="18" t="str">
        <x:v>Raster insert</x:v>
      </x:c>
      <x:c r="H7" s="18" t="str">
        <x:v>1000×1400 portrait source paired with ART-02.</x:v>
      </x:c>
      <x:c r="I7" s="18" t="str">
        <x:v>640×900 derivative, equal prominence.</x:v>
      </x:c>
      <x:c r="J7" s="18" t="str">
        <x:v>Copy-side edge remains dark.</x:v>
      </x:c>
      <x:c r="K7" s="18" t="str">
        <x:v>Warm/violet imagined business-city horizon, no factual location label. No people or company logos.</x:v>
      </x:c>
      <x:c r="L7" s="18" t="str">
        <x:v>Pending</x:v>
      </x:c>
      <x:c r="M7" s="18" t="str">
        <x:v>Unassigned</x:v>
      </x:c>
      <x:c r="N7" s="18" t="str"/>
      <x:c r="O7" s="18" t="str"/>
      <x:c r="P7" s="18" t="str"/>
      <x:c r="Q7" s="18" t="str"/>
    </x:row>
    <x:row r="8" ht="106" customHeight="1">
      <x:c r="A8" s="28" t="str">
        <x:v>ART-04</x:v>
      </x:c>
      <x:c r="B8" s="18" t="str">
        <x:v>Three-walls terrain</x:v>
      </x:c>
      <x:c r="C8" s="18" t="str">
        <x:v>Core</x:v>
      </x:c>
      <x:c r="D8" s="30" t="str">
        <x:v>Not started</x:v>
      </x:c>
      <x:c r="E8" s="18" t="str">
        <x:v>SC-03</x:v>
      </x:c>
      <x:c r="F8" s="18" t="str">
        <x:v>REF-01</x:v>
      </x:c>
      <x:c r="G8" s="18" t="str">
        <x:v>Raster landscape</x:v>
      </x:c>
      <x:c r="H8" s="18" t="str">
        <x:v>2560×1200 landscape; clear midground for three DOM monoliths.</x:v>
      </x:c>
      <x:c r="I8" s="18" t="str">
        <x:v>1080×1440 alternative crop without tall empty foreground.</x:v>
      </x:c>
      <x:c r="J8" s="18" t="str">
        <x:v>Text is on opaque monolith faces, not rock texture.</x:v>
      </x:c>
      <x:c r="K8" s="18" t="str">
        <x:v>Text-free rock terrain, small luminous path, no figures. The three walls remain real DOM/SVG shapes.</x:v>
      </x:c>
      <x:c r="L8" s="18" t="str">
        <x:v>Pending</x:v>
      </x:c>
      <x:c r="M8" s="18" t="str">
        <x:v>Unassigned</x:v>
      </x:c>
      <x:c r="N8" s="18" t="str"/>
      <x:c r="O8" s="18" t="str"/>
      <x:c r="P8" s="18" t="str"/>
      <x:c r="Q8" s="18" t="str"/>
    </x:row>
    <x:row r="9" ht="106" customHeight="1">
      <x:c r="A9" s="28" t="str">
        <x:v>ART-05</x:v>
      </x:c>
      <x:c r="B9" s="18" t="str">
        <x:v>Verified Phnom Penh at night</x:v>
      </x:c>
      <x:c r="C9" s="18" t="str">
        <x:v>Core</x:v>
      </x:c>
      <x:c r="D9" s="30" t="str">
        <x:v>Not started</x:v>
      </x:c>
      <x:c r="E9" s="18" t="str">
        <x:v>SC-05; SC-06 R4</x:v>
      </x:c>
      <x:c r="F9" s="18" t="str">
        <x:v>REF-03 composition only</x:v>
      </x:c>
      <x:c r="G9" s="18" t="str">
        <x:v>Approved photo / licensed asset</x:v>
      </x:c>
      <x:c r="H9" s="18" t="str">
        <x:v>2400×1600 source; subject matter and rights must be recorded.</x:v>
      </x:c>
      <x:c r="I9" s="18" t="str">
        <x:v>1080×1350 crop plus a short landscape phone cut.</x:v>
      </x:c>
      <x:c r="J9" s="18" t="str">
        <x:v>Keep lights clear of any overlaid copy; use separate copy panel when necessary.</x:v>
      </x:c>
      <x:c r="K9" s="18" t="str">
        <x:v>Owner-supplied or licensed, verifiably Phnom Penh. No synthetic person pretending to be the consultant. Generated mood art must not be labeled documentary.</x:v>
      </x:c>
      <x:c r="L9" s="18" t="str">
        <x:v>Pending</x:v>
      </x:c>
      <x:c r="M9" s="18" t="str">
        <x:v>Unassigned</x:v>
      </x:c>
      <x:c r="N9" s="18" t="str"/>
      <x:c r="O9" s="18" t="str"/>
      <x:c r="P9" s="18" t="str"/>
      <x:c r="Q9" s="18" t="str"/>
    </x:row>
    <x:row r="10" ht="106" customHeight="1">
      <x:c r="A10" s="28" t="str">
        <x:v>ART-06</x:v>
      </x:c>
      <x:c r="B10" s="18" t="str">
        <x:v>Dawn / Earth transition</x:v>
      </x:c>
      <x:c r="C10" s="18" t="str">
        <x:v>Optional</x:v>
      </x:c>
      <x:c r="D10" s="30" t="str">
        <x:v>Not started</x:v>
      </x:c>
      <x:c r="E10" s="18" t="str">
        <x:v>SC-06 R2; SC-09</x:v>
      </x:c>
      <x:c r="F10" s="18" t="str">
        <x:v>REF-04; REF-05</x:v>
      </x:c>
      <x:c r="G10" s="18" t="str">
        <x:v>Optional raster reuse</x:v>
      </x:c>
      <x:c r="H10" s="18" t="str">
        <x:v>Prefer derivative of ART-01; new 2400×1200 master only if distinct scene is needed.</x:v>
      </x:c>
      <x:c r="I10" s="18" t="str">
        <x:v>1080×1200 derivative; cap decorative vertical space.</x:v>
      </x:c>
      <x:c r="J10" s="18" t="str">
        <x:v>Dark text zone above/left; sun below the reading line.</x:v>
      </x:c>
      <x:c r="K10" s="18" t="str">
        <x:v>Shallow chapter transition, not another redundant hero. Reuse before commissioning a new master.</x:v>
      </x:c>
      <x:c r="L10" s="18" t="str">
        <x:v>Pending</x:v>
      </x:c>
      <x:c r="M10" s="18" t="str">
        <x:v>Unassigned</x:v>
      </x:c>
      <x:c r="N10" s="18" t="str"/>
      <x:c r="O10" s="18" t="str"/>
      <x:c r="P10" s="18" t="str"/>
      <x:c r="Q10" s="18" t="str"/>
    </x:row>
    <x:row r="11" ht="106" customHeight="1">
      <x:c r="A11" s="28" t="str">
        <x:v>ART-07</x:v>
      </x:c>
      <x:c r="B11" s="18" t="str">
        <x:v>Method reading / path through terrain</x:v>
      </x:c>
      <x:c r="C11" s="18" t="str">
        <x:v>Optional</x:v>
      </x:c>
      <x:c r="D11" s="30" t="str">
        <x:v>Not started</x:v>
      </x:c>
      <x:c r="E11" s="18" t="str">
        <x:v>SC-06 R1</x:v>
      </x:c>
      <x:c r="F11" s="18" t="str">
        <x:v>REF-04</x:v>
      </x:c>
      <x:c r="G11" s="18" t="str">
        <x:v>Reading crop</x:v>
      </x:c>
      <x:c r="H11" s="18" t="str">
        <x:v>1200×800 source or derivative of ART-04.</x:v>
      </x:c>
      <x:c r="I11" s="18" t="str">
        <x:v>640×640 crop for reading summary.</x:v>
      </x:c>
      <x:c r="J11" s="18" t="str">
        <x:v>No text in raster.</x:v>
      </x:c>
      <x:c r="K11" s="18" t="str">
        <x:v>A path illustrates sequence only; it must not suggest a defined proprietary method.</x:v>
      </x:c>
      <x:c r="L11" s="18" t="str">
        <x:v>Pending</x:v>
      </x:c>
      <x:c r="M11" s="18" t="str">
        <x:v>Unassigned</x:v>
      </x:c>
      <x:c r="N11" s="18" t="str"/>
      <x:c r="O11" s="18" t="str"/>
      <x:c r="P11" s="18" t="str"/>
      <x:c r="Q11" s="18" t="str"/>
    </x:row>
    <x:row r="12" ht="106" customHeight="1">
      <x:c r="A12" s="28" t="str">
        <x:v>ART-08</x:v>
      </x:c>
      <x:c r="B12" s="18" t="str">
        <x:v>Technology reading / star field</x:v>
      </x:c>
      <x:c r="C12" s="18" t="str">
        <x:v>Optional</x:v>
      </x:c>
      <x:c r="D12" s="30" t="str">
        <x:v>Not started</x:v>
      </x:c>
      <x:c r="E12" s="18" t="str">
        <x:v>SC-06 R3</x:v>
      </x:c>
      <x:c r="F12" s="18" t="str">
        <x:v>REF-04</x:v>
      </x:c>
      <x:c r="G12" s="18" t="str">
        <x:v>Texture or CSS replacement</x:v>
      </x:c>
      <x:c r="H12" s="18" t="str">
        <x:v>Reuse shared space treatment; optional 1200×800 raster.</x:v>
      </x:c>
      <x:c r="I12" s="18" t="str">
        <x:v>640×640 derivative if used.</x:v>
      </x:c>
      <x:c r="J12" s="18" t="str">
        <x:v>No labels; actual technology explanation remains HTML.</x:v>
      </x:c>
      <x:c r="K12" s="18" t="str">
        <x:v>Prefer a small live SVG orbital from VIS-05 over another large raster.</x:v>
      </x:c>
      <x:c r="L12" s="18" t="str">
        <x:v>Pending</x:v>
      </x:c>
      <x:c r="M12" s="18" t="str">
        <x:v>Unassigned</x:v>
      </x:c>
      <x:c r="N12" s="18" t="str"/>
      <x:c r="O12" s="18" t="str"/>
      <x:c r="P12" s="18" t="str"/>
      <x:c r="Q12" s="18" t="str"/>
    </x:row>
    <x:row r="13" ht="106" customHeight="1">
      <x:c r="A13" s="28" t="str">
        <x:v>ART-09</x:v>
      </x:c>
      <x:c r="B13" s="18" t="str">
        <x:v>Real owner portrait</x:v>
      </x:c>
      <x:c r="C13" s="18" t="str">
        <x:v>Deferred</x:v>
      </x:c>
      <x:c r="D13" s="30" t="str">
        <x:v>Deferred</x:v>
      </x:c>
      <x:c r="E13" s="18" t="str">
        <x:v>SC-05</x:v>
      </x:c>
      <x:c r="F13" s="18" t="str">
        <x:v>REF-03 is not likeness authority</x:v>
      </x:c>
      <x:c r="G13" s="18" t="str">
        <x:v>Future owner-supplied photo</x:v>
      </x:c>
      <x:c r="H13" s="18" t="str">
        <x:v>Only after owner supplies/approves the photo and public identity.</x:v>
      </x:c>
      <x:c r="I13" s="18" t="str">
        <x:v>Art-directed crop approved separately.</x:v>
      </x:c>
      <x:c r="J13" s="18" t="str">
        <x:v>No synthesized stand-in, including a biography silhouette.</x:v>
      </x:c>
      <x:c r="K13" s="18" t="str">
        <x:v>Reserved slot has a city-only fallback and collapses gracefully.</x:v>
      </x:c>
      <x:c r="L13" s="18" t="str">
        <x:v>Pending</x:v>
      </x:c>
      <x:c r="M13" s="18" t="str">
        <x:v>Unassigned</x:v>
      </x:c>
      <x:c r="N13" s="18" t="str"/>
      <x:c r="O13" s="18" t="str"/>
      <x:c r="P13" s="18" t="str"/>
      <x:c r="Q13" s="18" t="str"/>
    </x:row>
    <x:row r="14" ht="106" customHeight="1">
      <x:c r="A14" s="28" t="str">
        <x:v>ART-10</x:v>
      </x:c>
      <x:c r="B14" s="18" t="str">
        <x:v>Accurate regional map</x:v>
      </x:c>
      <x:c r="C14" s="18" t="str">
        <x:v>Deferred</x:v>
      </x:c>
      <x:c r="D14" s="30" t="str">
        <x:v>Deferred</x:v>
      </x:c>
      <x:c r="E14" s="18" t="str">
        <x:v>SC-05 optional inset</x:v>
      </x:c>
      <x:c r="F14" s="18" t="str">
        <x:v>REF-03 composition only</x:v>
      </x:c>
      <x:c r="G14" s="18" t="str">
        <x:v>Future sourced SVG</x:v>
      </x:c>
      <x:c r="H14" s="18" t="str">
        <x:v>Approved, accurate geography and usage rights.</x:v>
      </x:c>
      <x:c r="I14" s="18" t="str">
        <x:v>Omit by default.</x:v>
      </x:c>
      <x:c r="J14" s="18" t="str">
        <x:v>Labels real HTML/SVG, verified boundaries.</x:v>
      </x:c>
      <x:c r="K14" s="18" t="str">
        <x:v>No generated national outline or unsubstantiated impact statistics.</x:v>
      </x:c>
      <x:c r="L14" s="18" t="str">
        <x:v>Pending</x:v>
      </x:c>
      <x:c r="M14" s="18" t="str">
        <x:v>Unassigned</x:v>
      </x:c>
      <x:c r="N14" s="18" t="str"/>
      <x:c r="O14" s="18" t="str"/>
      <x:c r="P14" s="18" t="str"/>
      <x:c r="Q14" s="18" t="str"/>
    </x:row>
  </x:sheetData>
  <x:mergeCells>
    <x:mergeCell ref="A1:I1"/>
    <x:mergeCell ref="A2:I2"/>
  </x:mergeCells>
  <x:conditionalFormatting sqref="D5:D14">
    <x:cfRule type="expression" dxfId="90" priority="1">
      <x:formula>D5="Approved"</x:formula>
    </x:cfRule>
    <x:cfRule type="expression" dxfId="91" priority="2">
      <x:formula>D5="Done"</x:formula>
    </x:cfRule>
    <x:cfRule type="expression" dxfId="92" priority="3">
      <x:formula>D5="Pass"</x:formula>
    </x:cfRule>
    <x:cfRule type="expression" dxfId="93" priority="4">
      <x:formula>D5="Blocked"</x:formula>
    </x:cfRule>
    <x:cfRule type="expression" dxfId="94" priority="5">
      <x:formula>D5="Fail"</x:formula>
    </x:cfRule>
    <x:cfRule type="expression" dxfId="95" priority="6">
      <x:formula>D5="For review"</x:formula>
    </x:cfRule>
    <x:cfRule type="expression" dxfId="96" priority="7">
      <x:formula>D5="Pending"</x:formula>
    </x:cfRule>
    <x:cfRule type="expression" dxfId="97" priority="8">
      <x:formula>D5="Deferred"</x:formula>
    </x:cfRule>
    <x:cfRule type="expression" dxfId="98" priority="9">
      <x:formula>D5="Not applicable"</x:formula>
    </x:cfRule>
  </x:conditionalFormatting>
  <x:dataValidations count="1">
    <x:dataValidation type="list" sqref="D5:D14">
      <x:formula1>"Not started,In progress,For review,Approved,Blocked,Deferred,Not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c2545edd934a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6" hidden="0" customWidth="1"/>
    <x:col min="4" max="4" width="17" hidden="0" customWidth="1"/>
    <x:col min="5" max="5" width="20" hidden="0" customWidth="1"/>
    <x:col min="6" max="6" width="27" hidden="0" customWidth="1"/>
    <x:col min="7" max="7" width="40" hidden="0" customWidth="1"/>
    <x:col min="8" max="8" width="40" hidden="0" customWidth="1"/>
    <x:col min="9" max="9" width="18" hidden="0" customWidth="1"/>
    <x:col min="10" max="10" width="38" hidden="0" customWidth="1"/>
  </x:cols>
  <x:sheetData>
    <x:row r="1" ht="30" customHeight="1">
      <x:c r="A1" s="4" t="str">
        <x:v>CODED VISUALS  /  CURIOUSLABS CINEMATIC BUILD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11" t="str">
        <x:v>9 SVG/DOM visual artifacts. Reuse existing components; these are not new rendering engines or new dependencies.</x:v>
      </x:c>
      <x:c r="B2" s="11"/>
      <x:c r="C2" s="11"/>
      <x:c r="D2" s="11"/>
      <x:c r="E2" s="11"/>
      <x:c r="F2" s="11"/>
      <x:c r="G2" s="11"/>
      <x:c r="H2" s="11"/>
      <x:c r="I2" s="11"/>
    </x:row>
    <x:row r="4" ht="32" customHeight="1">
      <x:c r="A4" s="24" t="str">
        <x:v>Visual ID</x:v>
      </x:c>
      <x:c r="B4" s="24" t="str">
        <x:v>Artifact</x:v>
      </x:c>
      <x:c r="C4" s="24" t="str">
        <x:v>Scenes</x:v>
      </x:c>
      <x:c r="D4" s="24" t="str">
        <x:v>Status</x:v>
      </x:c>
      <x:c r="E4" s="24" t="str">
        <x:v>Owner</x:v>
      </x:c>
      <x:c r="F4" s="24" t="str">
        <x:v>Technology</x:v>
      </x:c>
      <x:c r="G4" s="24" t="str">
        <x:v>Desktop rule</x:v>
      </x:c>
      <x:c r="H4" s="24" t="str">
        <x:v>Phone / static rule</x:v>
      </x:c>
      <x:c r="I4" s="24" t="str">
        <x:v>Interaction</x:v>
      </x:c>
      <x:c r="J4" s="24" t="str">
        <x:v>Evidence</x:v>
      </x:c>
    </x:row>
    <x:row r="5" ht="88" customHeight="1">
      <x:c r="A5" s="28" t="str">
        <x:v>VIS-01</x:v>
      </x:c>
      <x:c r="B5" s="18" t="str">
        <x:v>Two doorway frames</x:v>
      </x:c>
      <x:c r="C5" s="18" t="str">
        <x:v>SC-02</x:v>
      </x:c>
      <x:c r="D5" s="30" t="str">
        <x:v>Not started</x:v>
      </x:c>
      <x:c r="E5" s="18" t="str">
        <x:v>Unassigned</x:v>
      </x:c>
      <x:c r="F5" s="18" t="str">
        <x:v>DOM/CSS + ART-02/03</x:v>
      </x:c>
      <x:c r="G5" s="18" t="str">
        <x:v>Equal frames; simple 2D light/edge reveal; no WebGL door model.</x:v>
      </x:c>
      <x:c r="H5" s="18" t="str">
        <x:v>Two names, reachable cards, same status on phone.</x:v>
      </x:c>
      <x:c r="I5" s="18" t="str">
        <x:v>INT-02</x:v>
      </x:c>
      <x:c r="J5" s="18" t="str"/>
    </x:row>
    <x:row r="6" ht="88" customHeight="1">
      <x:c r="A6" s="28" t="str">
        <x:v>VIS-02</x:v>
      </x:c>
      <x:c r="B6" s="18" t="str">
        <x:v>Three monoliths</x:v>
      </x:c>
      <x:c r="C6" s="18" t="str">
        <x:v>SC-03</x:v>
      </x:c>
      <x:c r="D6" s="30" t="str">
        <x:v>Not started</x:v>
      </x:c>
      <x:c r="E6" s="18" t="str">
        <x:v>Unassigned</x:v>
      </x:c>
      <x:c r="F6" s="18" t="str">
        <x:v>DOM/SVG + ART-04</x:v>
      </x:c>
      <x:c r="G6" s="18" t="str">
        <x:v>Three legible fronts; light traces are decorative, not metrics.</x:v>
      </x:c>
      <x:c r="H6" s="18" t="str">
        <x:v>Essential problem copy always visible; response opens explicitly.</x:v>
      </x:c>
      <x:c r="I6" s="18" t="str">
        <x:v>INT-03</x:v>
      </x:c>
      <x:c r="J6" s="18" t="str"/>
    </x:row>
    <x:row r="7" ht="88" customHeight="1">
      <x:c r="A7" s="28" t="str">
        <x:v>VIS-03</x:v>
      </x:c>
      <x:c r="B7" s="18" t="str">
        <x:v>Harness system</x:v>
      </x:c>
      <x:c r="C7" s="18" t="str">
        <x:v>SC-04; SC-06 R1</x:v>
      </x:c>
      <x:c r="D7" s="30" t="str">
        <x:v>Not started</x:v>
      </x:c>
      <x:c r="E7" s="18" t="str">
        <x:v>Unassigned</x:v>
      </x:c>
      <x:c r="F7" s="18" t="str">
        <x:v>SVG/DOM</x:v>
      </x:c>
      <x:c r="G7" s="18" t="str">
        <x:v>Use supported nodes: Context, Stages, Tools, Handoffs, Checks. Central work, no invented certifications or numerical reliability score.</x:v>
      </x:c>
      <x:c r="H7" s="18" t="str">
        <x:v>Readable at 320px or replace radial layout with labeled vertical list.</x:v>
      </x:c>
      <x:c r="I7" s="18" t="str">
        <x:v>INT-04</x:v>
      </x:c>
      <x:c r="J7" s="18" t="str"/>
    </x:row>
    <x:row r="8" ht="88" customHeight="1">
      <x:c r="A8" s="28" t="str">
        <x:v>VIS-04</x:v>
      </x:c>
      <x:c r="B8" s="18" t="str">
        <x:v>Operator work path</x:v>
      </x:c>
      <x:c r="C8" s="18" t="str">
        <x:v>SC-06</x:v>
      </x:c>
      <x:c r="D8" s="30" t="str">
        <x:v>Not started</x:v>
      </x:c>
      <x:c r="E8" s="18" t="str">
        <x:v>Unassigned</x:v>
      </x:c>
      <x:c r="F8" s="18" t="str">
        <x:v>SVG + HTML</x:v>
      </x:c>
      <x:c r="G8" s="18" t="str">
        <x:v>Isolated requests versus directed, checked work. Labels describe concepts, not named methods.</x:v>
      </x:c>
      <x:c r="H8" s="18" t="str">
        <x:v>Vertical alternative; static final state with reduced motion.</x:v>
      </x:c>
      <x:c r="I8" s="18" t="str">
        <x:v>INT-05</x:v>
      </x:c>
      <x:c r="J8" s="18" t="str"/>
    </x:row>
    <x:row r="9" ht="88" customHeight="1">
      <x:c r="A9" s="28" t="str">
        <x:v>VIS-05</x:v>
      </x:c>
      <x:c r="B9" s="18" t="str">
        <x:v>Technology / trust visual</x:v>
      </x:c>
      <x:c r="C9" s="18" t="str">
        <x:v>SC-06 R3</x:v>
      </x:c>
      <x:c r="D9" s="30" t="str">
        <x:v>Not started</x:v>
      </x:c>
      <x:c r="E9" s="18" t="str">
        <x:v>Unassigned</x:v>
      </x:c>
      <x:c r="F9" s="18" t="str">
        <x:v>SVG + HTML</x:v>
      </x:c>
      <x:c r="G9" s="18" t="str">
        <x:v>Qualitative explanation of trust and checking. No calibrated risk score or guarantee.</x:v>
      </x:c>
      <x:c r="H9" s="18" t="str">
        <x:v>Readable paired statements rather than a tiny gauge.</x:v>
      </x:c>
      <x:c r="I9" s="18" t="str">
        <x:v>INT-06</x:v>
      </x:c>
      <x:c r="J9" s="18" t="str"/>
    </x:row>
    <x:row r="10" ht="88" customHeight="1">
      <x:c r="A10" s="28" t="str">
        <x:v>VIS-06</x:v>
      </x:c>
      <x:c r="B10" s="18" t="str">
        <x:v>Engagement rail</x:v>
      </x:c>
      <x:c r="C10" s="18" t="str">
        <x:v>SC-07</x:v>
      </x:c>
      <x:c r="D10" s="30" t="str">
        <x:v>Not started</x:v>
      </x:c>
      <x:c r="E10" s="18" t="str">
        <x:v>Unassigned</x:v>
      </x:c>
      <x:c r="F10" s="18" t="str">
        <x:v>SVG/CSS + ordered HTML list</x:v>
      </x:c>
      <x:c r="G10" s="18" t="str">
        <x:v>Discuss, Propose, Agree, Deliver. Distinct summary, quote and report cues.</x:v>
      </x:c>
      <x:c r="H10" s="18" t="str">
        <x:v>All step names visible; detail panels optional swipe.</x:v>
      </x:c>
      <x:c r="I10" s="18" t="str">
        <x:v>INT-07</x:v>
      </x:c>
      <x:c r="J10" s="18" t="str"/>
    </x:row>
    <x:row r="11" ht="88" customHeight="1">
      <x:c r="A11" s="28" t="str">
        <x:v>VIS-07</x:v>
      </x:c>
      <x:c r="B11" s="18" t="str">
        <x:v>Four illustrated reading entries</x:v>
      </x:c>
      <x:c r="C11" s="18" t="str">
        <x:v>SC-06</x:v>
      </x:c>
      <x:c r="D11" s="30" t="str">
        <x:v>Not started</x:v>
      </x:c>
      <x:c r="E11" s="18" t="str">
        <x:v>Unassigned</x:v>
      </x:c>
      <x:c r="F11" s="18" t="str">
        <x:v>HTML details + image crops</x:v>
      </x:c>
      <x:c r="G11" s="18" t="str">
        <x:v>One entry per R1–R4; expanded material adds depth. Preserve hashes and independent opening.</x:v>
      </x:c>
      <x:c r="H11" s="18" t="str">
        <x:v>Two columns only while readable; full-width expansion.</x:v>
      </x:c>
      <x:c r="I11" s="18" t="str">
        <x:v>INT-06</x:v>
      </x:c>
      <x:c r="J11" s="18" t="str"/>
    </x:row>
    <x:row r="12" ht="88" customHeight="1">
      <x:c r="A12" s="28" t="str">
        <x:v>VIS-08</x:v>
      </x:c>
      <x:c r="B12" s="18" t="str">
        <x:v>Shared icons / UI marks</x:v>
      </x:c>
      <x:c r="C12" s="18" t="str">
        <x:v>All</x:v>
      </x:c>
      <x:c r="D12" s="30" t="str">
        <x:v>Not started</x:v>
      </x:c>
      <x:c r="E12" s="18" t="str">
        <x:v>Unassigned</x:v>
      </x:c>
      <x:c r="F12" s="18" t="str">
        <x:v>Existing ConsultationIcons</x:v>
      </x:c>
      <x:c r="G12" s="18" t="str">
        <x:v>Reuse icon system, focus styles and directional arrows. No extra icon package.</x:v>
      </x:c>
      <x:c r="H12" s="18" t="str">
        <x:v>Touch targets at least 44px by this plan’s acceptance target.</x:v>
      </x:c>
      <x:c r="I12" s="18" t="str">
        <x:v>INT-09</x:v>
      </x:c>
      <x:c r="J12" s="18" t="str"/>
    </x:row>
    <x:row r="13" ht="88" customHeight="1">
      <x:c r="A13" s="28" t="str">
        <x:v>VIS-09</x:v>
      </x:c>
      <x:c r="B13" s="18" t="str">
        <x:v>Chapter transitions</x:v>
      </x:c>
      <x:c r="C13" s="18" t="str">
        <x:v>All</x:v>
      </x:c>
      <x:c r="D13" s="30" t="str">
        <x:v>Not started</x:v>
      </x:c>
      <x:c r="E13" s="18" t="str">
        <x:v>Unassigned</x:v>
      </x:c>
      <x:c r="F13" s="18" t="str">
        <x:v>CSS masks/gradients</x:v>
      </x:c>
      <x:c r="G13" s="18" t="str">
        <x:v>Scene-edge seams, optional short light wipe; never wipe away required text.</x:v>
      </x:c>
      <x:c r="H13" s="18" t="str">
        <x:v>Static or subtle, no scroll interception.</x:v>
      </x:c>
      <x:c r="I13" s="18" t="str">
        <x:v>INT-11</x:v>
      </x:c>
      <x:c r="J13" s="18" t="str"/>
    </x:row>
  </x:sheetData>
  <x:mergeCells>
    <x:mergeCell ref="A1:I1"/>
    <x:mergeCell ref="A2:I2"/>
  </x:mergeCells>
  <x:conditionalFormatting sqref="D5:D13">
    <x:cfRule type="expression" dxfId="99" priority="1">
      <x:formula>D5="Approved"</x:formula>
    </x:cfRule>
    <x:cfRule type="expression" dxfId="100" priority="2">
      <x:formula>D5="Done"</x:formula>
    </x:cfRule>
    <x:cfRule type="expression" dxfId="101" priority="3">
      <x:formula>D5="Pass"</x:formula>
    </x:cfRule>
    <x:cfRule type="expression" dxfId="102" priority="4">
      <x:formula>D5="Blocked"</x:formula>
    </x:cfRule>
    <x:cfRule type="expression" dxfId="103" priority="5">
      <x:formula>D5="Fail"</x:formula>
    </x:cfRule>
    <x:cfRule type="expression" dxfId="104" priority="6">
      <x:formula>D5="For review"</x:formula>
    </x:cfRule>
    <x:cfRule type="expression" dxfId="105" priority="7">
      <x:formula>D5="Pending"</x:formula>
    </x:cfRule>
    <x:cfRule type="expression" dxfId="106" priority="8">
      <x:formula>D5="Deferred"</x:formula>
    </x:cfRule>
    <x:cfRule type="expression" dxfId="107" priority="9">
      <x:formula>D5="Not applicable"</x:formula>
    </x:cfRule>
  </x:conditionalFormatting>
  <x:dataValidations count="1">
    <x:dataValidation type="list" sqref="D5:D13">
      <x:formula1>"Not started,In progress,For review,Approved,Blocked,Deferred,Not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829923f669415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40" hidden="0" customWidth="1"/>
    <x:col min="5" max="5" width="40" hidden="0" customWidth="1"/>
    <x:col min="6" max="6" width="38" hidden="0" customWidth="1"/>
    <x:col min="7" max="7" width="40" hidden="0" customWidth="1"/>
    <x:col min="8" max="8" width="38" hidden="0" customWidth="1"/>
  </x:cols>
  <x:sheetData>
    <x:row r="1" ht="30" customHeight="1">
      <x:c r="A1" s="4" t="str">
        <x:v>INTERACTIONS  /  CURIOUSLABS CINEMATIC BUILD</x:v>
      </x:c>
      <x:c r="B1" s="4"/>
      <x:c r="C1" s="4"/>
      <x:c r="D1" s="4"/>
      <x:c r="E1" s="4"/>
      <x:c r="F1" s="4"/>
      <x:c r="G1" s="4"/>
      <x:c r="H1" s="4"/>
    </x:row>
    <x:row r="2" ht="42" customHeight="1">
      <x:c r="A2" s="11" t="str">
        <x:v>11 behavior contracts. Each must preserve a complete static and reduced-motion version.</x:v>
      </x:c>
      <x:c r="B2" s="11"/>
      <x:c r="C2" s="11"/>
      <x:c r="D2" s="11"/>
      <x:c r="E2" s="11"/>
      <x:c r="F2" s="11"/>
      <x:c r="G2" s="11"/>
      <x:c r="H2" s="11"/>
    </x:row>
    <x:row r="4" ht="32" customHeight="1">
      <x:c r="A4" s="24" t="str">
        <x:v>Interaction ID</x:v>
      </x:c>
      <x:c r="B4" s="24" t="str">
        <x:v>Interaction</x:v>
      </x:c>
      <x:c r="C4" s="24" t="str">
        <x:v>Status</x:v>
      </x:c>
      <x:c r="D4" s="24" t="str">
        <x:v>Desktop</x:v>
      </x:c>
      <x:c r="E4" s="24" t="str">
        <x:v>Phone</x:v>
      </x:c>
      <x:c r="F4" s="24" t="str">
        <x:v>Reduced motion</x:v>
      </x:c>
      <x:c r="G4" s="24" t="str">
        <x:v>Checks</x:v>
      </x:c>
      <x:c r="H4" s="24" t="str">
        <x:v>Evidence</x:v>
      </x:c>
    </x:row>
    <x:row r="5" ht="98" customHeight="1">
      <x:c r="A5" s="28" t="str">
        <x:v>INT-01</x:v>
      </x:c>
      <x:c r="B5" s="18" t="str">
        <x:v>Hero readiness</x:v>
      </x:c>
      <x:c r="C5" s="30" t="str">
        <x:v>Not started</x:v>
      </x:c>
      <x:c r="D5" s="18" t="str">
        <x:v>Headline, intro, invitation and actions render fully visible. Decorative art may settle after them.</x:v>
      </x:c>
      <x:c r="E5" s="18" t="str">
        <x:v>Same rule. No wait for scroll/IntersectionObserver.</x:v>
      </x:c>
      <x:c r="F5" s="18" t="str">
        <x:v>Static art. All content present.</x:v>
      </x:c>
      <x:c r="G5" s="18" t="str">
        <x:v>Initial load, refresh, cold anchor return, reduced motion, slow asset load.</x:v>
      </x:c>
      <x:c r="H5" s="18" t="str"/>
    </x:row>
    <x:row r="6" ht="98" customHeight="1">
      <x:c r="A6" s="28" t="str">
        <x:v>INT-02</x:v>
      </x:c>
      <x:c r="B6" s="18" t="str">
        <x:v>Two-door exploration</x:v>
      </x:c>
      <x:c r="C6" s="30" t="str">
        <x:v>Not started</x:v>
      </x:c>
      <x:c r="D6" s="18" t="str">
        <x:v>Subtle 2D light response on hover/focus; valid anchors or explicit detail controls only.</x:v>
      </x:c>
      <x:c r="E6" s="18" t="str">
        <x:v>Native swipe/snap with named previous/next and visible two-name index; no vertical-scroll capture.</x:v>
      </x:c>
      <x:c r="F6" s="18" t="str">
        <x:v>No animated door motion; manual navigation remains.</x:v>
      </x:c>
      <x:c r="G6" s="18" t="str">
        <x:v>Reach both doors by touch, mouse and keyboard; stacked 320px fallback.</x:v>
      </x:c>
      <x:c r="H6" s="18" t="str"/>
    </x:row>
    <x:row r="7" ht="98" customHeight="1">
      <x:c r="A7" s="28" t="str">
        <x:v>INT-03</x:v>
      </x:c>
      <x:c r="B7" s="18" t="str">
        <x:v>Wall response</x:v>
      </x:c>
      <x:c r="C7" s="30" t="str">
        <x:v>Not started</x:v>
      </x:c>
      <x:c r="D7" s="18" t="str">
        <x:v>Explicit expand control reveals response. A visual flip may decorate the same state, not create duplicate accessible text.</x:v>
      </x:c>
      <x:c r="E7" s="18" t="str">
        <x:v>Tap-to-expand; next/previous on track. No hover-only content.</x:v>
      </x:c>
      <x:c r="F7" s="18" t="str">
        <x:v>Immediate open/close; static monoliths.</x:v>
      </x:c>
      <x:c r="G7" s="18" t="str">
        <x:v>Focus survives change; hidden face has no tab stops; all three topics reachable.</x:v>
      </x:c>
      <x:c r="H7" s="18" t="str"/>
    </x:row>
    <x:row r="8" ht="98" customHeight="1">
      <x:c r="A8" s="28" t="str">
        <x:v>INT-04</x:v>
      </x:c>
      <x:c r="B8" s="18" t="str">
        <x:v>Harness emphasis</x:v>
      </x:c>
      <x:c r="C8" s="30" t="str">
        <x:v>Not started</x:v>
      </x:c>
      <x:c r="D8" s="18" t="str">
        <x:v>Draw connectors or highlight a node once. Optional short sticky contribution scene only after approval and fit checks.</x:v>
      </x:c>
      <x:c r="E8" s="18" t="str">
        <x:v>No pinning. Diagram or readable list; explain selected node in HTML.</x:v>
      </x:c>
      <x:c r="F8" s="18" t="str">
        <x:v>Final static network/list.</x:v>
      </x:c>
      <x:c r="G8" s="18" t="str">
        <x:v>Labels legible at 320px; effect paused offscreen; no invented method/metric.</x:v>
      </x:c>
      <x:c r="H8" s="18" t="str"/>
    </x:row>
    <x:row r="9" ht="98" customHeight="1">
      <x:c r="A9" s="28" t="str">
        <x:v>INT-05</x:v>
      </x:c>
      <x:c r="B9" s="18" t="str">
        <x:v>Operator path</x:v>
      </x:c>
      <x:c r="C9" s="30" t="str">
        <x:v>Not started</x:v>
      </x:c>
      <x:c r="D9" s="18" t="str">
        <x:v>Short path draw as the art enters view; text is already readable.</x:v>
      </x:c>
      <x:c r="E9" s="18" t="str">
        <x:v>Compact path, light progress only when appropriate.</x:v>
      </x:c>
      <x:c r="F9" s="18" t="str">
        <x:v>Whole path visible immediately.</x:v>
      </x:c>
      <x:c r="G9" s="18" t="str">
        <x:v>No explanation depends on animation completion.</x:v>
      </x:c>
      <x:c r="H9" s="18" t="str"/>
    </x:row>
    <x:row r="10" ht="98" customHeight="1">
      <x:c r="A10" s="28" t="str">
        <x:v>INT-06</x:v>
      </x:c>
      <x:c r="B10" s="18" t="str">
        <x:v>Deeper reading</x:v>
      </x:c>
      <x:c r="C10" s="30" t="str">
        <x:v>Not started</x:v>
      </x:c>
      <x:c r="D10" s="18" t="str">
        <x:v>Native inline details default. Open several topics; each full panel stays associated with its summary.</x:v>
      </x:c>
      <x:c r="E10" s="18" t="str">
        <x:v>Inline drawer default. Bottom sheet is an unapproved alternative, not a second copy of the content.</x:v>
      </x:c>
      <x:c r="F10" s="18" t="str">
        <x:v>Instant open/close; same information.</x:v>
      </x:c>
      <x:c r="G10" s="18" t="str">
        <x:v>Cold #method/#concept/#technology/#experience links, close-to-summary focus, keyboard and Back.</x:v>
      </x:c>
      <x:c r="H10" s="18" t="str"/>
    </x:row>
    <x:row r="11" ht="98" customHeight="1">
      <x:c r="A11" s="28" t="str">
        <x:v>INT-07</x:v>
      </x:c>
      <x:c r="B11" s="18" t="str">
        <x:v>Engagement sequence</x:v>
      </x:c>
      <x:c r="C11" s="30" t="str">
        <x:v>Not started</x:v>
      </x:c>
      <x:c r="D11" s="18" t="str">
        <x:v>Horizontal visual rail, ordered HTML list. No auto-advancing stages.</x:v>
      </x:c>
      <x:c r="E11" s="18" t="str">
        <x:v>Four names visible; optional manual detail track with next/previous.</x:v>
      </x:c>
      <x:c r="F11" s="18" t="str">
        <x:v>Static ordered list.</x:v>
      </x:c>
      <x:c r="G11" s="18" t="str">
        <x:v>Agree precedes Deliver; sequence visible without swiping; keyboard works.</x:v>
      </x:c>
      <x:c r="H11" s="18" t="str"/>
    </x:row>
    <x:row r="12" ht="98" customHeight="1">
      <x:c r="A12" s="28" t="str">
        <x:v>INT-08</x:v>
      </x:c>
      <x:c r="B12" s="18" t="str">
        <x:v>Questions</x:v>
      </x:c>
      <x:c r="C12" s="30" t="str">
        <x:v>Not started</x:v>
      </x:c>
      <x:c r="D12" s="18" t="str">
        <x:v>Independent details; actual reveal-more button for additional questions.</x:v>
      </x:c>
      <x:c r="E12" s="18" t="str">
        <x:v>Single column; no compressed two-column answers.</x:v>
      </x:c>
      <x:c r="F12" s="18" t="str">
        <x:v>Instant state change.</x:v>
      </x:c>
      <x:c r="G12" s="18" t="str">
        <x:v>Every question remains available; “View all” works; no fabricated external resource.</x:v>
      </x:c>
      <x:c r="H12" s="18" t="str"/>
    </x:row>
    <x:row r="13" ht="98" customHeight="1">
      <x:c r="A13" s="28" t="str">
        <x:v>INT-09</x:v>
      </x:c>
      <x:c r="B13" s="18" t="str">
        <x:v>Anchors / page movement</x:v>
      </x:c>
      <x:c r="C13" s="30" t="str">
        <x:v>Not started</x:v>
      </x:c>
      <x:c r="D13" s="18" t="str">
        <x:v>Keep existing canonical hashes and navbar offset. User scrolling cancels corrective deep-link movement.</x:v>
      </x:c>
      <x:c r="E13" s="18" t="str">
        <x:v>Same, including orientation/browser toolbar changes.</x:v>
      </x:c>
      <x:c r="F13" s="18" t="str">
        <x:v>No smooth travel.</x:v>
      </x:c>
      <x:c r="G13" s="18" t="str">
        <x:v>Cold deep links, existing #experience CTA, focus, keyboard and browser Back.</x:v>
      </x:c>
      <x:c r="H13" s="18" t="str"/>
    </x:row>
    <x:row r="14" ht="98" customHeight="1">
      <x:c r="A14" s="28" t="str">
        <x:v>INT-10</x:v>
      </x:c>
      <x:c r="B14" s="18" t="str">
        <x:v>Contact pending → ready</x:v>
      </x:c>
      <x:c r="C14" s="30" t="str">
        <x:v>Not started</x:v>
      </x:c>
      <x:c r="D14" s="18" t="str">
        <x:v>Pending = explanation only. Ready = approved destinations plus optional QR.</x:v>
      </x:c>
      <x:c r="E14" s="18" t="str">
        <x:v>Direct links first; QR secondary. Copy confirmation is specific and honest.</x:v>
      </x:c>
      <x:c r="F14" s="18" t="str">
        <x:v>No change in functionality.</x:v>
      </x:c>
      <x:c r="G14" s="18" t="str">
        <x:v>No # dead links, unsupplied handles, hidden-but-focusable controls or false “sent/booked” notices.</x:v>
      </x:c>
      <x:c r="H14" s="18" t="str"/>
    </x:row>
    <x:row r="15" ht="98" customHeight="1">
      <x:c r="A15" s="28" t="str">
        <x:v>INT-11</x:v>
      </x:c>
      <x:c r="B15" s="18" t="str">
        <x:v>Atmosphere / chapter motion</x:v>
      </x:c>
      <x:c r="C15" s="30" t="str">
        <x:v>Not started</x:v>
      </x:c>
      <x:c r="D15" s="18" t="str">
        <x:v>Local small parallax and edge wipes, never scroll hijack or text concealment. No new dependencies/3D.</x:v>
      </x:c>
      <x:c r="E15" s="18" t="str">
        <x:v>Lower amplitude or static; normal vertical reading.</x:v>
      </x:c>
      <x:c r="F15" s="18" t="str">
        <x:v>No parallax, pulsing, drawing, masks or sticky choreography.</x:v>
      </x:c>
      <x:c r="G15" s="18" t="str">
        <x:v>Check route cleanup, offscreen pause, no ongoing flashes, stable content dimensions.</x:v>
      </x:c>
      <x:c r="H15" s="18" t="str"/>
    </x:row>
  </x:sheetData>
  <x:mergeCells>
    <x:mergeCell ref="A1:H1"/>
    <x:mergeCell ref="A2:H2"/>
  </x:mergeCells>
  <x:conditionalFormatting sqref="C5:C15">
    <x:cfRule type="expression" dxfId="108" priority="1">
      <x:formula>C5="Approved"</x:formula>
    </x:cfRule>
    <x:cfRule type="expression" dxfId="109" priority="2">
      <x:formula>C5="Done"</x:formula>
    </x:cfRule>
    <x:cfRule type="expression" dxfId="110" priority="3">
      <x:formula>C5="Pass"</x:formula>
    </x:cfRule>
    <x:cfRule type="expression" dxfId="111" priority="4">
      <x:formula>C5="Blocked"</x:formula>
    </x:cfRule>
    <x:cfRule type="expression" dxfId="112" priority="5">
      <x:formula>C5="Fail"</x:formula>
    </x:cfRule>
    <x:cfRule type="expression" dxfId="113" priority="6">
      <x:formula>C5="For review"</x:formula>
    </x:cfRule>
    <x:cfRule type="expression" dxfId="114" priority="7">
      <x:formula>C5="Pending"</x:formula>
    </x:cfRule>
    <x:cfRule type="expression" dxfId="115" priority="8">
      <x:formula>C5="Deferred"</x:formula>
    </x:cfRule>
    <x:cfRule type="expression" dxfId="116" priority="9">
      <x:formula>C5="Not applicable"</x:formula>
    </x:cfRule>
  </x:conditionalFormatting>
  <x:dataValidations count="1">
    <x:dataValidation type="list" sqref="C5:C15">
      <x:formula1>"Not started,In progress,For review,Approved,Blocked,Deferred,Not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9b1652face4c5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18" hidden="0" customWidth="1"/>
    <x:col min="4" max="4" width="28" hidden="0" customWidth="1"/>
    <x:col min="5" max="5" width="30" hidden="0" customWidth="1"/>
    <x:col min="6" max="6" width="40" hidden="0" customWidth="1"/>
    <x:col min="7" max="7" width="40" hidden="0" customWidth="1"/>
    <x:col min="8" max="8" width="36" hidden="0" customWidth="1"/>
    <x:col min="9" max="9" width="36" hidden="0" customWidth="1"/>
  </x:cols>
  <x:sheetData>
    <x:row r="1" ht="30" customHeight="1">
      <x:c r="A1" s="4" t="str">
        <x:v>WORK  /  CURIOUSLABS CINEMATIC BUILD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11" t="str">
        <x:v>18 bounded packages. Sequence by dependencies, not dates invented here. No git/commit/push/release without owner instruction.</x:v>
      </x:c>
      <x:c r="B2" s="11"/>
      <x:c r="C2" s="11"/>
      <x:c r="D2" s="11"/>
      <x:c r="E2" s="11"/>
      <x:c r="F2" s="11"/>
      <x:c r="G2" s="11"/>
      <x:c r="H2" s="11"/>
      <x:c r="I2" s="11"/>
    </x:row>
    <x:row r="4" ht="32" customHeight="1">
      <x:c r="A4" s="24" t="str">
        <x:v>Work ID</x:v>
      </x:c>
      <x:c r="B4" s="24" t="str">
        <x:v>Work package</x:v>
      </x:c>
      <x:c r="C4" s="24" t="str">
        <x:v>Status</x:v>
      </x:c>
      <x:c r="D4" s="24" t="str">
        <x:v>Owner role</x:v>
      </x:c>
      <x:c r="E4" s="24" t="str">
        <x:v>Dependencies</x:v>
      </x:c>
      <x:c r="F4" s="24" t="str">
        <x:v>Scope</x:v>
      </x:c>
      <x:c r="G4" s="24" t="str">
        <x:v>Exit evidence</x:v>
      </x:c>
      <x:c r="H4" s="24" t="str">
        <x:v>Evidence link</x:v>
      </x:c>
      <x:c r="I4" s="24" t="str">
        <x:v>Notes</x:v>
      </x:c>
    </x:row>
    <x:row r="5" ht="84" customHeight="1">
      <x:c r="A5" s="28" t="str">
        <x:v>WP-01</x:v>
      </x:c>
      <x:c r="B5" s="18" t="str">
        <x:v>Pin baseline and copy holds</x:v>
      </x:c>
      <x:c r="C5" s="30" t="str">
        <x:v>For review</x:v>
      </x:c>
      <x:c r="D5" s="18" t="str">
        <x:v>Build agent + owner</x:v>
      </x:c>
      <x:c r="E5" s="18" t="str">
        <x:v>—</x:v>
      </x:c>
      <x:c r="F5" s="18" t="str">
        <x:v>Record branch SHA, route, files, existing screenshots/measurements. Do not assume the 14,500px report was independently reproduced.</x:v>
      </x:c>
      <x:c r="G5" s="18" t="str">
        <x:v>Baseline record; no code change.</x:v>
      </x:c>
      <x:c r="H5" s="18" t="str"/>
      <x:c r="I5" s="18" t="str"/>
    </x:row>
    <x:row r="6" ht="84" customHeight="1">
      <x:c r="A6" s="28" t="str">
        <x:v>WP-02</x:v>
      </x:c>
      <x:c r="B6" s="18" t="str">
        <x:v>Approve copy by scene</x:v>
      </x:c>
      <x:c r="C6" s="30" t="str">
        <x:v>Not started</x:v>
      </x:c>
      <x:c r="D6" s="18" t="str">
        <x:v>Copy editor + owner</x:v>
      </x:c>
      <x:c r="E6" s="18" t="str">
        <x:v>WP-01</x:v>
      </x:c>
      <x:c r="F6" s="18" t="str">
        <x:v>Resolve all CP items; keep COPY_DECK_v2 as source of truth. Geometry prototyping may proceed with labeled baseline copy.</x:v>
      </x:c>
      <x:c r="G6" s="18" t="str">
        <x:v>Approved per-scene copy, including FAQ and metadata.</x:v>
      </x:c>
      <x:c r="H6" s="18" t="str"/>
      <x:c r="I6" s="18" t="str"/>
    </x:row>
    <x:row r="7" ht="84" customHeight="1">
      <x:c r="A7" s="28" t="str">
        <x:v>WP-03</x:v>
      </x:c>
      <x:c r="B7" s="18" t="str">
        <x:v>Approve reference-to-space mapping</x:v>
      </x:c>
      <x:c r="C7" s="30" t="str">
        <x:v>For review</x:v>
      </x:c>
      <x:c r="D7" s="18" t="str">
        <x:v>Owner + design agent</x:v>
      </x:c>
      <x:c r="E7" s="18" t="str">
        <x:v>WP-01</x:v>
      </x:c>
      <x:c r="F7" s="18" t="str">
        <x:v>Review SC-01–09, mobile transformations and omission decisions. Confirm visual direction without adopting image text.</x:v>
      </x:c>
      <x:c r="G7" s="18" t="str">
        <x:v>Scene cards and DEC choices approved.</x:v>
      </x:c>
      <x:c r="H7" s="18" t="str"/>
      <x:c r="I7" s="18" t="str"/>
    </x:row>
    <x:row r="8" ht="84" customHeight="1">
      <x:c r="A8" s="28" t="str">
        <x:v>WP-04</x:v>
      </x:c>
      <x:c r="B8" s="18" t="str">
        <x:v>Art batch A: Earth / doors / walls</x:v>
      </x:c>
      <x:c r="C8" s="30" t="str">
        <x:v>Not started</x:v>
      </x:c>
      <x:c r="D8" s="18" t="str">
        <x:v>Asset maker + owner</x:v>
      </x:c>
      <x:c r="E8" s="18" t="str">
        <x:v>WP-03</x:v>
      </x:c>
      <x:c r="F8" s="18" t="str">
        <x:v>Prepare text-free ART-01–04 with separate desktop/mobile crops.</x:v>
      </x:c>
      <x:c r="G8" s="18" t="str">
        <x:v>Approved masters, derivatives, rights/provenance records.</x:v>
      </x:c>
      <x:c r="H8" s="18" t="str"/>
      <x:c r="I8" s="18" t="str"/>
    </x:row>
    <x:row r="9" ht="84" customHeight="1">
      <x:c r="A9" s="28" t="str">
        <x:v>WP-05</x:v>
      </x:c>
      <x:c r="B9" s="18" t="str">
        <x:v>Art batch B: city / reading accents</x:v>
      </x:c>
      <x:c r="C9" s="30" t="str">
        <x:v>Not started</x:v>
      </x:c>
      <x:c r="D9" s="18" t="str">
        <x:v>Asset maker + owner</x:v>
      </x:c>
      <x:c r="E9" s="18" t="str">
        <x:v>WP-03</x:v>
      </x:c>
      <x:c r="F9" s="18" t="str">
        <x:v>Source verified ART-05; prefer reuse for ART-06–08. Keep portrait/map deferred.</x:v>
      </x:c>
      <x:c r="G9" s="18" t="str">
        <x:v>Approved city and reading crops; no fictional identity.</x:v>
      </x:c>
      <x:c r="H9" s="18" t="str"/>
      <x:c r="I9" s="18" t="str"/>
    </x:row>
    <x:row r="10" ht="84" customHeight="1">
      <x:c r="A10" s="28" t="str">
        <x:v>WP-06</x:v>
      </x:c>
      <x:c r="B10" s="18" t="str">
        <x:v>Static semantic scene skeleton</x:v>
      </x:c>
      <x:c r="C10" s="30" t="str">
        <x:v>Not started</x:v>
      </x:c>
      <x:c r="D10" s="18" t="str">
        <x:v>Build agent</x:v>
      </x:c>
      <x:c r="E10" s="18" t="str">
        <x:v>WP-01; WP-03</x:v>
      </x:c>
      <x:c r="F10" s="18" t="str">
        <x:v>Refactor existing route in place; preserve D IDs/hashes, nav, footer, scope and native readings.</x:v>
      </x:c>
      <x:c r="G10" s="18" t="str">
        <x:v>Every section visible without motion, desktop and phone.</x:v>
      </x:c>
      <x:c r="H10" s="18" t="str"/>
      <x:c r="I10" s="18" t="str"/>
    </x:row>
    <x:row r="11" ht="84" customHeight="1">
      <x:c r="A11" s="28" t="str">
        <x:v>WP-07</x:v>
      </x:c>
      <x:c r="B11" s="18" t="str">
        <x:v>Hero: visible-first + globe</x:v>
      </x:c>
      <x:c r="C11" s="30" t="str">
        <x:v>Not started</x:v>
      </x:c>
      <x:c r="D11" s="18" t="str">
        <x:v>Build agent</x:v>
      </x:c>
      <x:c r="E11" s="18" t="str">
        <x:v>WP-02 SC-01; WP-04; WP-06</x:v>
      </x:c>
      <x:c r="F11" s="18" t="str">
        <x:v>Install responsive art and scrim; remove content-gating reveal behavior only where needed.</x:v>
      </x:c>
      <x:c r="G11" s="18" t="str">
        <x:v>SC-01 desktop + phone screenshots and first-load checks.</x:v>
      </x:c>
      <x:c r="H11" s="18" t="str"/>
      <x:c r="I11" s="18" t="str"/>
    </x:row>
    <x:row r="12" ht="84" customHeight="1">
      <x:c r="A12" s="28" t="str">
        <x:v>WP-08</x:v>
      </x:c>
      <x:c r="B12" s="18" t="str">
        <x:v>Two doors + three walls pilot</x:v>
      </x:c>
      <x:c r="C12" s="30" t="str">
        <x:v>Not started</x:v>
      </x:c>
      <x:c r="D12" s="18" t="str">
        <x:v>Build agent</x:v>
      </x:c>
      <x:c r="E12" s="18" t="str">
        <x:v>WP-02 SC-02/03; WP-04; WP-06</x:v>
      </x:c>
      <x:c r="F12" s="18" t="str">
        <x:v>Use these as the vertical slice for visual language and touch interactions.</x:v>
      </x:c>
      <x:c r="G12" s="18" t="str">
        <x:v>SC-02/03 at 1440 and 390, all cards/expansions tested.</x:v>
      </x:c>
      <x:c r="H12" s="18" t="str"/>
      <x:c r="I12" s="18" t="str"/>
    </x:row>
    <x:row r="13" ht="84" customHeight="1">
      <x:c r="A13" s="28" t="str">
        <x:v>WP-09</x:v>
      </x:c>
      <x:c r="B13" s="18" t="str">
        <x:v>Contribution and harness</x:v>
      </x:c>
      <x:c r="C13" s="30" t="str">
        <x:v>Not started</x:v>
      </x:c>
      <x:c r="D13" s="18" t="str">
        <x:v>Build agent</x:v>
      </x:c>
      <x:c r="E13" s="18" t="str">
        <x:v>WP-02 SC-04; WP-06; WP-08</x:v>
      </x:c>
      <x:c r="F13" s="18" t="str">
        <x:v>Build asymmetric scene and lightweight VIS-03; no service-menu drift.</x:v>
      </x:c>
      <x:c r="G13" s="18" t="str">
        <x:v>SC-04 default plus mobile and reduced-motion states.</x:v>
      </x:c>
      <x:c r="H13" s="18" t="str"/>
      <x:c r="I13" s="18" t="str"/>
    </x:row>
    <x:row r="14" ht="84" customHeight="1">
      <x:c r="A14" s="28" t="str">
        <x:v>WP-10</x:v>
      </x:c>
      <x:c r="B14" s="18" t="str">
        <x:v>Person and local context</x:v>
      </x:c>
      <x:c r="C14" s="30" t="str">
        <x:v>Not started</x:v>
      </x:c>
      <x:c r="D14" s="18" t="str">
        <x:v>Build agent</x:v>
      </x:c>
      <x:c r="E14" s="18" t="str">
        <x:v>WP-02 SC-05; WP-05; WP-06</x:v>
      </x:c>
      <x:c r="F14" s="18" t="str">
        <x:v>Editorial city scene; business background before AI detail; approved spoken-language wording.</x:v>
      </x:c>
      <x:c r="G14" s="18" t="str">
        <x:v>SC-05 with city-only fallback and R4 link check.</x:v>
      </x:c>
      <x:c r="H14" s="18" t="str"/>
      <x:c r="I14" s="18" t="str"/>
    </x:row>
    <x:row r="15" ht="84" customHeight="1">
      <x:c r="A15" s="28" t="str">
        <x:v>WP-11</x:v>
      </x:c>
      <x:c r="B15" s="18" t="str">
        <x:v>Approach and all four readings</x:v>
      </x:c>
      <x:c r="C15" s="30" t="str">
        <x:v>Not started</x:v>
      </x:c>
      <x:c r="D15" s="18" t="str">
        <x:v>Build agent</x:v>
      </x:c>
      <x:c r="E15" s="18" t="str">
        <x:v>WP-02 SC-06; WP-05; WP-06</x:v>
      </x:c>
      <x:c r="F15" s="18" t="str">
        <x:v>Build VIS-04/05/07; preserve independent details and deep-link behavior.</x:v>
      </x:c>
      <x:c r="G15" s="18" t="str">
        <x:v>R1–R4 closed/open/closed screenshots plus keyboard record.</x:v>
      </x:c>
      <x:c r="H15" s="18" t="str"/>
      <x:c r="I15" s="18" t="str"/>
    </x:row>
    <x:row r="16" ht="84" customHeight="1">
      <x:c r="A16" s="28" t="str">
        <x:v>WP-12</x:v>
      </x:c>
      <x:c r="B16" s="18" t="str">
        <x:v>Engagement, questions and contact</x:v>
      </x:c>
      <x:c r="C16" s="30" t="str">
        <x:v>Not started</x:v>
      </x:c>
      <x:c r="D16" s="18" t="str">
        <x:v>Build agent</x:v>
      </x:c>
      <x:c r="E16" s="18" t="str">
        <x:v>WP-02 SC-07/08/09; WP-06</x:v>
      </x:c>
      <x:c r="F16" s="18" t="str">
        <x:v>Canonical four steps; complete FAQ; honest contact pending state.</x:v>
      </x:c>
      <x:c r="G16" s="18" t="str">
        <x:v>SC-07–09 verified with all primary in-page links.</x:v>
      </x:c>
      <x:c r="H16" s="18" t="str"/>
      <x:c r="I16" s="18" t="str"/>
    </x:row>
    <x:row r="17" ht="84" customHeight="1">
      <x:c r="A17" s="28" t="str">
        <x:v>WP-13</x:v>
      </x:c>
      <x:c r="B17" s="18" t="str">
        <x:v>Responsive / state pass</x:v>
      </x:c>
      <x:c r="C17" s="30" t="str">
        <x:v>Not started</x:v>
      </x:c>
      <x:c r="D17" s="18" t="str">
        <x:v>Build agent + QA reviewer</x:v>
      </x:c>
      <x:c r="E17" s="18" t="str">
        <x:v>WP-07…WP-12</x:v>
      </x:c>
      <x:c r="F17" s="18" t="str">
        <x:v>Check 320/390/768/1024/1440, text resize, no overflow, deep links and contacts.</x:v>
      </x:c>
      <x:c r="G17" s="18" t="str">
        <x:v>Viewport/state acceptance record, not just hero captures.</x:v>
      </x:c>
      <x:c r="H17" s="18" t="str"/>
      <x:c r="I17" s="18" t="str"/>
    </x:row>
    <x:row r="18" ht="84" customHeight="1">
      <x:c r="A18" s="28" t="str">
        <x:v>WP-14</x:v>
      </x:c>
      <x:c r="B18" s="18" t="str">
        <x:v>Motion and atmosphere pass</x:v>
      </x:c>
      <x:c r="C18" s="30" t="str">
        <x:v>Not started</x:v>
      </x:c>
      <x:c r="D18" s="18" t="str">
        <x:v>Build agent + QA reviewer</x:v>
      </x:c>
      <x:c r="E18" s="18" t="str">
        <x:v>WP-13</x:v>
      </x:c>
      <x:c r="F18" s="18" t="str">
        <x:v>Add INT effects after static scenes pass; optional sticky trial only if DEC-02 approved.</x:v>
      </x:c>
      <x:c r="G18" s="18" t="str">
        <x:v>Normal/reduced-motion parity; no hidden content.</x:v>
      </x:c>
      <x:c r="H18" s="18" t="str"/>
      <x:c r="I18" s="18" t="str"/>
    </x:row>
    <x:row r="19" ht="84" customHeight="1">
      <x:c r="A19" s="28" t="str">
        <x:v>WP-15</x:v>
      </x:c>
      <x:c r="B19" s="18" t="str">
        <x:v>Asset / load / regression pass</x:v>
      </x:c>
      <x:c r="C19" s="30" t="str">
        <x:v>Not started</x:v>
      </x:c>
      <x:c r="D19" s="18" t="str">
        <x:v>Build agent + QA reviewer</x:v>
      </x:c>
      <x:c r="E19" s="18" t="str">
        <x:v>WP-13; WP-14</x:v>
      </x:c>
      <x:c r="F19" s="18" t="str">
        <x:v>Optimize served derivatives, check no art-load shift and no global style or homepage regressions.</x:v>
      </x:c>
      <x:c r="G19" s="18" t="str">
        <x:v>QA evidence at representative widths and load conditions.</x:v>
      </x:c>
      <x:c r="H19" s="18" t="str"/>
      <x:c r="I19" s="18" t="str"/>
    </x:row>
    <x:row r="20" ht="84" customHeight="1">
      <x:c r="A20" s="28" t="str">
        <x:v>WP-16</x:v>
      </x:c>
      <x:c r="B20" s="18" t="str">
        <x:v>Real contact wiring</x:v>
      </x:c>
      <x:c r="C20" s="30" t="str">
        <x:v>Blocked</x:v>
      </x:c>
      <x:c r="D20" s="18" t="str">
        <x:v>Owner + build agent</x:v>
      </x:c>
      <x:c r="E20" s="18" t="str">
        <x:v>DEC-05; WP-12</x:v>
      </x:c>
      <x:c r="F20" s="18" t="str">
        <x:v>Only supplied destinations; test on desktop and phone. Facebook remains absent until supplied.</x:v>
      </x:c>
      <x:c r="G20" s="18" t="str">
        <x:v>Ready contact state, QR validation if included.</x:v>
      </x:c>
      <x:c r="H20" s="18" t="str"/>
      <x:c r="I20" s="18" t="str"/>
    </x:row>
    <x:row r="21" ht="84" customHeight="1">
      <x:c r="A21" s="28" t="str">
        <x:v>WP-17</x:v>
      </x:c>
      <x:c r="B21" s="18" t="str">
        <x:v>Owner approval and release review</x:v>
      </x:c>
      <x:c r="C21" s="30" t="str">
        <x:v>Not started</x:v>
      </x:c>
      <x:c r="D21" s="18" t="str">
        <x:v>Owner + build agent</x:v>
      </x:c>
      <x:c r="E21" s="18" t="str">
        <x:v>WP-02…WP-16</x:v>
      </x:c>
      <x:c r="F21" s="18" t="str">
        <x:v>Review copy, desktop, phone, reduced motion and QA evidence. Ask before any git/commit/push; no automatic publishing.</x:v>
      </x:c>
      <x:c r="G21" s="18" t="str">
        <x:v>Explicit approval and release instruction.</x:v>
      </x:c>
      <x:c r="H21" s="18" t="str"/>
      <x:c r="I21" s="18" t="str"/>
    </x:row>
    <x:row r="22" ht="84" customHeight="1">
      <x:c r="A22" s="28" t="str">
        <x:v>WP-18</x:v>
      </x:c>
      <x:c r="B22" s="18" t="str">
        <x:v>Homepage invitation later</x:v>
      </x:c>
      <x:c r="C22" s="30" t="str">
        <x:v>Deferred</x:v>
      </x:c>
      <x:c r="D22" s="18" t="str">
        <x:v>Owner + build agent</x:v>
      </x:c>
      <x:c r="E22" s="18" t="str">
        <x:v>WP-17; DEC-07</x:v>
      </x:c>
      <x:c r="F22" s="18" t="str">
        <x:v>Reuse approved Earth/copy in the agreed seam; do not replace the existing opening or MoonSignal.</x:v>
      </x:c>
      <x:c r="G22" s="18" t="str">
        <x:v>Homepage + destination regression review.</x:v>
      </x:c>
      <x:c r="H22" s="18" t="str"/>
      <x:c r="I22" s="18" t="str"/>
    </x:row>
  </x:sheetData>
  <x:mergeCells>
    <x:mergeCell ref="A1:I1"/>
    <x:mergeCell ref="A2:I2"/>
  </x:mergeCells>
  <x:conditionalFormatting sqref="C5:C22">
    <x:cfRule type="expression" dxfId="117" priority="1">
      <x:formula>C5="Approved"</x:formula>
    </x:cfRule>
    <x:cfRule type="expression" dxfId="118" priority="2">
      <x:formula>C5="Done"</x:formula>
    </x:cfRule>
    <x:cfRule type="expression" dxfId="119" priority="3">
      <x:formula>C5="Pass"</x:formula>
    </x:cfRule>
    <x:cfRule type="expression" dxfId="120" priority="4">
      <x:formula>C5="Blocked"</x:formula>
    </x:cfRule>
    <x:cfRule type="expression" dxfId="121" priority="5">
      <x:formula>C5="Fail"</x:formula>
    </x:cfRule>
    <x:cfRule type="expression" dxfId="122" priority="6">
      <x:formula>C5="For review"</x:formula>
    </x:cfRule>
    <x:cfRule type="expression" dxfId="123" priority="7">
      <x:formula>C5="Pending"</x:formula>
    </x:cfRule>
    <x:cfRule type="expression" dxfId="124" priority="8">
      <x:formula>C5="Deferred"</x:formula>
    </x:cfRule>
    <x:cfRule type="expression" dxfId="125" priority="9">
      <x:formula>C5="Not applicable"</x:formula>
    </x:cfRule>
  </x:conditionalFormatting>
  <x:dataValidations count="1">
    <x:dataValidation type="list" sqref="C5:C22">
      <x:formula1>"Not started,In progress,For review,Done,Blocked,Deferred"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6223d7d41044a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18" hidden="0" customWidth="1"/>
    <x:col min="4" max="4" width="24" hidden="0" customWidth="1"/>
    <x:col min="5" max="5" width="40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30" customHeight="1">
      <x:c r="A1" s="4" t="str">
        <x:v>COPY GATES  /  CURIOUSLABS CINEMATIC BUILD</x:v>
      </x:c>
      <x:c r="B1" s="4"/>
      <x:c r="C1" s="4"/>
      <x:c r="D1" s="4"/>
      <x:c r="E1" s="4"/>
      <x:c r="F1" s="4"/>
      <x:c r="G1" s="4"/>
      <x:c r="H1" s="4"/>
    </x:row>
    <x:row r="2" ht="42" customHeight="1">
      <x:c r="A2" s="11" t="str">
        <x:v>Resolve these in COPY_DECK_v2, not by adopting generated mockup text. This register does not create a competing copy deck.</x:v>
      </x:c>
      <x:c r="B2" s="11"/>
      <x:c r="C2" s="11"/>
      <x:c r="D2" s="11"/>
      <x:c r="E2" s="11"/>
      <x:c r="F2" s="11"/>
      <x:c r="G2" s="11"/>
      <x:c r="H2" s="11"/>
    </x:row>
    <x:row r="4" ht="32" customHeight="1">
      <x:c r="A4" s="24" t="str">
        <x:v>Gate ID</x:v>
      </x:c>
      <x:c r="B4" s="24" t="str">
        <x:v>Topic</x:v>
      </x:c>
      <x:c r="C4" s="24" t="str">
        <x:v>Status</x:v>
      </x:c>
      <x:c r="D4" s="24" t="str">
        <x:v>Scenes</x:v>
      </x:c>
      <x:c r="E4" s="24" t="str">
        <x:v>Required resolution</x:v>
      </x:c>
      <x:c r="F4" s="24" t="str">
        <x:v>Source</x:v>
      </x:c>
      <x:c r="G4" s="24" t="str">
        <x:v>Decision / approval</x:v>
      </x:c>
      <x:c r="H4" s="24" t="str">
        <x:v>Evidence</x:v>
      </x:c>
    </x:row>
    <x:row r="5" ht="88" customHeight="1">
      <x:c r="A5" s="28" t="str">
        <x:v>CP-01</x:v>
      </x:c>
      <x:c r="B5" s="18" t="str">
        <x:v>Hero and audience entry</x:v>
      </x:c>
      <x:c r="C5" s="30" t="str">
        <x:v>For review</x:v>
      </x:c>
      <x:c r="D5" s="18" t="str">
        <x:v>SC-01; SC-02</x:v>
      </x:c>
      <x:c r="E5" s="18" t="str">
        <x:v>Keep business-advisor-first and the junction. Both technical and non-technical companies are co-equal; not advanced vs beginner.</x:v>
      </x:c>
      <x:c r="F5" s="18" t="str">
        <x:v>SRC-01 §§1–3; SRC-02 §§1–2</x:v>
      </x:c>
      <x:c r="G5" s="18" t="str"/>
      <x:c r="H5" s="18" t="str"/>
    </x:row>
    <x:row r="6" ht="88" customHeight="1">
      <x:c r="A6" s="28" t="str">
        <x:v>CP-02</x:v>
      </x:c>
      <x:c r="B6" s="18" t="str">
        <x:v>First-person and scope</x:v>
      </x:c>
      <x:c r="C6" s="30" t="str">
        <x:v>For review</x:v>
      </x:c>
      <x:c r="D6" s="18" t="str">
        <x:v>All</x:v>
      </x:c>
      <x:c r="E6" s="18" t="str">
        <x:v>Replace fabricated agency “we”; consultation/planning/training is core. No automatic engineering, deployment, product strategy or go-to-market menu.</x:v>
      </x:c>
      <x:c r="F6" s="18" t="str">
        <x:v>SRC-01 §§4/7/8; SRC-03 Q4/Q7</x:v>
      </x:c>
      <x:c r="G6" s="18" t="str"/>
      <x:c r="H6" s="18" t="str"/>
    </x:row>
    <x:row r="7" ht="88" customHeight="1">
      <x:c r="A7" s="28" t="str">
        <x:v>CP-03</x:v>
      </x:c>
      <x:c r="B7" s="18" t="str">
        <x:v>Reliability and experience claims</x:v>
      </x:c>
      <x:c r="C7" s="30" t="str">
        <x:v>For review</x:v>
      </x:c>
      <x:c r="D7" s="18" t="str">
        <x:v>SC-02; SC-03; SC-08</x:v>
      </x:c>
      <x:c r="E7" s="18" t="str">
        <x:v>Remove “every time,” unsupported factory operating history and implied prior AI engagements in every example industry.</x:v>
      </x:c>
      <x:c r="F7" s="18" t="str">
        <x:v>SRC-03 Q1/Q8; earlier source-to-copy review</x:v>
      </x:c>
      <x:c r="G7" s="18" t="str"/>
      <x:c r="H7" s="18" t="str"/>
    </x:row>
    <x:row r="8" ht="88" customHeight="1">
      <x:c r="A8" s="28" t="str">
        <x:v>CP-04</x:v>
      </x:c>
      <x:c r="B8" s="18" t="str">
        <x:v>Person and local knowledge</x:v>
      </x:c>
      <x:c r="C8" s="30" t="str">
        <x:v>For review</x:v>
      </x:c>
      <x:c r="D8" s="18" t="str">
        <x:v>SC-05</x:v>
      </x:c>
      <x:c r="E8" s="18" t="str">
        <x:v>Use 18 years exactly as residence/market experience, F&amp;B and real estate, led hotels/restaurants, unnamed shareholding; no generated identity/signature.</x:v>
      </x:c>
      <x:c r="F8" s="18" t="str">
        <x:v>SRC-01 §5/8</x:v>
      </x:c>
      <x:c r="G8" s="18" t="str"/>
      <x:c r="H8" s="18" t="str"/>
    </x:row>
    <x:row r="9" ht="88" customHeight="1">
      <x:c r="A9" s="28" t="str">
        <x:v>CP-05</x:v>
      </x:c>
      <x:c r="B9" s="18" t="str">
        <x:v>Method names and reading depth</x:v>
      </x:c>
      <x:c r="C9" s="30" t="str">
        <x:v>For review</x:v>
      </x:c>
      <x:c r="D9" s="18" t="str">
        <x:v>SC-04; SC-06</x:v>
      </x:c>
      <x:c r="E9" s="18" t="str">
        <x:v>Keep only supported generic concepts. R1–R4 have distinct jobs; do not define Maestro, Orchestrator, LEGIT or planning principles.</x:v>
      </x:c>
      <x:c r="F9" s="18" t="str">
        <x:v>SRC-03 Q2–Q3/Q16</x:v>
      </x:c>
      <x:c r="G9" s="18" t="str"/>
      <x:c r="H9" s="18" t="str"/>
    </x:row>
    <x:row r="10" ht="88" customHeight="1">
      <x:c r="A10" s="28" t="str">
        <x:v>CP-06</x:v>
      </x:c>
      <x:c r="B10" s="18" t="str">
        <x:v>Engagement steps</x:v>
      </x:c>
      <x:c r="C10" s="30" t="str">
        <x:v>For review</x:v>
      </x:c>
      <x:c r="D10" s="18" t="str">
        <x:v>SC-07</x:v>
      </x:c>
      <x:c r="E10" s="18" t="str">
        <x:v>Discuss → Propose → Agree → Deliver. Separate summary, quote and paid report. No fixed financial/service promises.</x:v>
      </x:c>
      <x:c r="F10" s="18" t="str">
        <x:v>SRC-02 §6; SRC-03 Q5/Q13</x:v>
      </x:c>
      <x:c r="G10" s="18" t="str"/>
      <x:c r="H10" s="18" t="str"/>
    </x:row>
    <x:row r="11" ht="88" customHeight="1">
      <x:c r="A11" s="28" t="str">
        <x:v>CP-07</x:v>
      </x:c>
      <x:c r="B11" s="18" t="str">
        <x:v>Contact and language</x:v>
      </x:c>
      <x:c r="C11" s="30" t="str">
        <x:v>For review</x:v>
      </x:c>
      <x:c r="D11" s="18" t="str">
        <x:v>SC-01; SC-09</x:v>
      </x:c>
      <x:c r="E11" s="18" t="str">
        <x:v>No Book calendar/LinkedIn or unsupplied channels. Spoken English/Khmer, not guaranteed bilingual written delivery.</x:v>
      </x:c>
      <x:c r="F11" s="18" t="str">
        <x:v>SRC-03 Q11/Q12/Q15</x:v>
      </x:c>
      <x:c r="G11" s="18" t="str"/>
      <x:c r="H11" s="18" t="str"/>
    </x:row>
    <x:row r="12" ht="88" customHeight="1">
      <x:c r="A12" s="28" t="str">
        <x:v>CP-08</x:v>
      </x:c>
      <x:c r="B12" s="18" t="str">
        <x:v>FAQ, titles and peripheral labels</x:v>
      </x:c>
      <x:c r="C12" s="30" t="str">
        <x:v>For review</x:v>
      </x:c>
      <x:c r="D12" s="18" t="str">
        <x:v>SC-00; SC-08; SC-09</x:v>
      </x:c>
      <x:c r="E12" s="18" t="str">
        <x:v>Complete exact FAQ text in COPY_DECK_v2; bring metadata/footer/orbital labels into line. Preserve noindex until authorized.</x:v>
      </x:c>
      <x:c r="F12" s="18" t="str">
        <x:v>SRC-02 §§7–8; SRC-07</x:v>
      </x:c>
      <x:c r="G12" s="18" t="str"/>
      <x:c r="H12" s="18" t="str"/>
    </x:row>
    <x:row r="13" ht="88" customHeight="1">
      <x:c r="A13" s="28" t="str">
        <x:v>CP-09</x:v>
      </x:c>
      <x:c r="B13" s="18" t="str">
        <x:v>Artwork wording and proofs</x:v>
      </x:c>
      <x:c r="C13" s="30" t="str">
        <x:v>For review</x:v>
      </x:c>
      <x:c r="D13" s="18" t="str">
        <x:v>All</x:v>
      </x:c>
      <x:c r="E13" s="18" t="str">
        <x:v>Image slogans, “typical outcomes,” made-up quotes/logos and national-impact bands do not become approved copy. D6 remains omitted.</x:v>
      </x:c>
      <x:c r="F13" s="18" t="str">
        <x:v>SRC-01 §8; latest visual references</x:v>
      </x:c>
      <x:c r="G13" s="18" t="str"/>
      <x:c r="H13" s="18" t="str"/>
    </x:row>
  </x:sheetData>
  <x:mergeCells>
    <x:mergeCell ref="A1:H1"/>
    <x:mergeCell ref="A2:H2"/>
  </x:mergeCells>
  <x:conditionalFormatting sqref="C5:C13">
    <x:cfRule type="expression" dxfId="126" priority="1">
      <x:formula>C5="Approved"</x:formula>
    </x:cfRule>
    <x:cfRule type="expression" dxfId="127" priority="2">
      <x:formula>C5="Done"</x:formula>
    </x:cfRule>
    <x:cfRule type="expression" dxfId="128" priority="3">
      <x:formula>C5="Pass"</x:formula>
    </x:cfRule>
    <x:cfRule type="expression" dxfId="129" priority="4">
      <x:formula>C5="Blocked"</x:formula>
    </x:cfRule>
    <x:cfRule type="expression" dxfId="130" priority="5">
      <x:formula>C5="Fail"</x:formula>
    </x:cfRule>
    <x:cfRule type="expression" dxfId="131" priority="6">
      <x:formula>C5="For review"</x:formula>
    </x:cfRule>
    <x:cfRule type="expression" dxfId="132" priority="7">
      <x:formula>C5="Pending"</x:formula>
    </x:cfRule>
    <x:cfRule type="expression" dxfId="133" priority="8">
      <x:formula>C5="Deferred"</x:formula>
    </x:cfRule>
    <x:cfRule type="expression" dxfId="134" priority="9">
      <x:formula>C5="Not applicable"</x:formula>
    </x:cfRule>
  </x:conditionalFormatting>
  <x:dataValidations count="1">
    <x:dataValidation type="list" sqref="C5:C13">
      <x:formula1>"Not started,In progress,For review,Approved,Blocked,Deferred,Not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83b70ebab7478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22" hidden="0" customWidth="1"/>
    <x:col min="4" max="4" width="40" hidden="0" customWidth="1"/>
    <x:col min="5" max="5" width="40" hidden="0" customWidth="1"/>
    <x:col min="6" max="6" width="18" hidden="0" customWidth="1"/>
    <x:col min="7" max="7" width="40" hidden="0" customWidth="1"/>
    <x:col min="8" max="8" width="28" hidden="0" customWidth="1"/>
  </x:cols>
  <x:sheetData>
    <x:row r="1" ht="30" customHeight="1">
      <x:c r="A1" s="4" t="str">
        <x:v>DECISIONS  /  CURIOUSLABS CINEMATIC BUILD</x:v>
      </x:c>
      <x:c r="B1" s="4"/>
      <x:c r="C1" s="4"/>
      <x:c r="D1" s="4"/>
      <x:c r="E1" s="4"/>
      <x:c r="F1" s="4"/>
      <x:c r="G1" s="4"/>
      <x:c r="H1" s="4"/>
    </x:row>
    <x:row r="2" ht="42" customHeight="1">
      <x:c r="A2" s="11" t="str">
        <x:v>8 explicit decisions or holds. Dramatic visual direction is accepted; this does not pre-approve every interaction or image claim.</x:v>
      </x:c>
      <x:c r="B2" s="11"/>
      <x:c r="C2" s="11"/>
      <x:c r="D2" s="11"/>
      <x:c r="E2" s="11"/>
      <x:c r="F2" s="11"/>
      <x:c r="G2" s="11"/>
      <x:c r="H2" s="11"/>
    </x:row>
    <x:row r="4" ht="32" customHeight="1">
      <x:c r="A4" s="24" t="str">
        <x:v>Decision ID</x:v>
      </x:c>
      <x:c r="B4" s="24" t="str">
        <x:v>Question</x:v>
      </x:c>
      <x:c r="C4" s="24" t="str">
        <x:v>Status</x:v>
      </x:c>
      <x:c r="D4" s="24" t="str">
        <x:v>Recommended default / hold</x:v>
      </x:c>
      <x:c r="E4" s="24" t="str">
        <x:v>Impact</x:v>
      </x:c>
      <x:c r="F4" s="24" t="str">
        <x:v>Owner</x:v>
      </x:c>
      <x:c r="G4" s="24" t="str">
        <x:v>Decision</x:v>
      </x:c>
      <x:c r="H4" s="24" t="str">
        <x:v>Date / receipt</x:v>
      </x:c>
    </x:row>
    <x:row r="5" ht="88" customHeight="1">
      <x:c r="A5" s="28" t="str">
        <x:v>DEC-01</x:v>
      </x:c>
      <x:c r="B5" s="18" t="str">
        <x:v>Approved wording per scene</x:v>
      </x:c>
      <x:c r="C5" s="30" t="str">
        <x:v>Pending</x:v>
      </x:c>
      <x:c r="D5" s="18" t="str">
        <x:v>Use SRC-02 as working baseline; approve CP-01–09 before release. Image text is not authority.</x:v>
      </x:c>
      <x:c r="E5" s="18" t="str">
        <x:v>Copy sign-off; do not restart positioning.</x:v>
      </x:c>
      <x:c r="F5" s="18" t="str">
        <x:v>Owner</x:v>
      </x:c>
      <x:c r="G5" s="18" t="str"/>
      <x:c r="H5" s="18" t="str"/>
    </x:row>
    <x:row r="6" ht="88" customHeight="1">
      <x:c r="A6" s="28" t="str">
        <x:v>DEC-02</x:v>
      </x:c>
      <x:c r="B6" s="18" t="str">
        <x:v>Dramatic motion / pinning</x:v>
      </x:c>
      <x:c r="C6" s="30" t="str">
        <x:v>Proposed default</x:v>
      </x:c>
      <x:c r="D6" s="18" t="str">
        <x:v>Dramatic imagery and local motion; no pinned scene initially. At most one short contribution sticky trial after static mobile passes.</x:v>
      </x:c>
      <x:c r="E6" s="18" t="str">
        <x:v>No scroll hijacking or content hidden behind animation.</x:v>
      </x:c>
      <x:c r="F6" s="18" t="str">
        <x:v>Owner</x:v>
      </x:c>
      <x:c r="G6" s="18" t="str"/>
      <x:c r="H6" s="18" t="str"/>
    </x:row>
    <x:row r="7" ht="88" customHeight="1">
      <x:c r="A7" s="28" t="str">
        <x:v>DEC-03</x:v>
      </x:c>
      <x:c r="B7" s="18" t="str">
        <x:v>Reading drawer behavior</x:v>
      </x:c>
      <x:c r="C7" s="30" t="str">
        <x:v>Proposed default</x:v>
      </x:c>
      <x:c r="D7" s="18" t="str">
        <x:v>Inline, independent accessible readings on both layouts. Bottom sheets are optional later, not automatically approved.</x:v>
      </x:c>
      <x:c r="E7" s="18" t="str">
        <x:v>Preserve hashes, keyboard and return-to-summary behavior.</x:v>
      </x:c>
      <x:c r="F7" s="18" t="str">
        <x:v>Owner</x:v>
      </x:c>
      <x:c r="G7" s="18" t="str"/>
      <x:c r="H7" s="18" t="str"/>
    </x:row>
    <x:row r="8" ht="88" customHeight="1">
      <x:c r="A8" s="28" t="str">
        <x:v>DEC-04</x:v>
      </x:c>
      <x:c r="B8" s="18" t="str">
        <x:v>Person imagery</x:v>
      </x:c>
      <x:c r="C8" s="30" t="str">
        <x:v>Pending asset</x:v>
      </x:c>
      <x:c r="D8" s="18" t="str">
        <x:v>Verified person-free city image now. Actual portrait only after explicit owner supply/approval.</x:v>
      </x:c>
      <x:c r="E8" s="18" t="str">
        <x:v>Portrait absence does not block city-only design.</x:v>
      </x:c>
      <x:c r="F8" s="18" t="str">
        <x:v>Owner</x:v>
      </x:c>
      <x:c r="G8" s="18" t="str"/>
      <x:c r="H8" s="18" t="str"/>
    </x:row>
    <x:row r="9" ht="88" customHeight="1">
      <x:c r="A9" s="28" t="str">
        <x:v>DEC-05</x:v>
      </x:c>
      <x:c r="B9" s="18" t="str">
        <x:v>Contact destinations</x:v>
      </x:c>
      <x:c r="C9" s="30" t="str">
        <x:v>Blocked</x:v>
      </x:c>
      <x:c r="D9" s="18" t="str">
        <x:v>Owner supplies actual Telegram / WhatsApp / email. Facebook only when created.</x:v>
      </x:c>
      <x:c r="E9" s="18" t="str">
        <x:v>Blocks live contact conversion and launch, not scene prototyping.</x:v>
      </x:c>
      <x:c r="F9" s="18" t="str">
        <x:v>Owner</x:v>
      </x:c>
      <x:c r="G9" s="18" t="str"/>
      <x:c r="H9" s="18" t="str"/>
    </x:row>
    <x:row r="10" ht="88" customHeight="1">
      <x:c r="A10" s="28" t="str">
        <x:v>DEC-06</x:v>
      </x:c>
      <x:c r="B10" s="18" t="str">
        <x:v>Regional map / national-impact band</x:v>
      </x:c>
      <x:c r="C10" s="30" t="str">
        <x:v>Deferred</x:v>
      </x:c>
      <x:c r="D10" s="18" t="str">
        <x:v>Omit generated geography and impact claims. Add only a sourced, approved map if it earns its space.</x:v>
      </x:c>
      <x:c r="E10" s="18" t="str">
        <x:v>No reserved empty gap in the page.</x:v>
      </x:c>
      <x:c r="F10" s="18" t="str">
        <x:v>Owner</x:v>
      </x:c>
      <x:c r="G10" s="18" t="str"/>
      <x:c r="H10" s="18" t="str"/>
    </x:row>
    <x:row r="11" ht="88" customHeight="1">
      <x:c r="A11" s="28" t="str">
        <x:v>DEC-07</x:v>
      </x:c>
      <x:c r="B11" s="18" t="str">
        <x:v>Homepage invitation integration</x:v>
      </x:c>
      <x:c r="C11" s="30" t="str">
        <x:v>Deferred</x:v>
      </x:c>
      <x:c r="D11" s="18" t="str">
        <x:v>Do after the dedicated page is approved and separately authorized; preserve existing moon opening.</x:v>
      </x:c>
      <x:c r="E11" s="18" t="str">
        <x:v>Recheck the MoonSignalShowcase seam before editing.</x:v>
      </x:c>
      <x:c r="F11" s="18" t="str">
        <x:v>Owner</x:v>
      </x:c>
      <x:c r="G11" s="18" t="str"/>
      <x:c r="H11" s="18" t="str"/>
    </x:row>
    <x:row r="12" ht="88" customHeight="1">
      <x:c r="A12" s="28" t="str">
        <x:v>DEC-08</x:v>
      </x:c>
      <x:c r="B12" s="18" t="str">
        <x:v>Mobile length / visible FAQ set</x:v>
      </x:c>
      <x:c r="C12" s="30" t="str">
        <x:v>Proposed default</x:v>
      </x:c>
      <x:c r="D12" s="18" t="str">
        <x:v>8–10 screens at 390×844 closed is a planning budget, not a hard limit. Start with six FAQ titles and keep all others reachable.</x:v>
      </x:c>
      <x:c r="E12" s="18" t="str">
        <x:v>No text clipping or hidden essential meaning to hit the number.</x:v>
      </x:c>
      <x:c r="F12" s="18" t="str">
        <x:v>Owner</x:v>
      </x:c>
      <x:c r="G12" s="18" t="str"/>
      <x:c r="H12" s="18" t="str"/>
    </x:row>
  </x:sheetData>
  <x:mergeCells>
    <x:mergeCell ref="A1:H1"/>
    <x:mergeCell ref="A2:H2"/>
  </x:mergeCells>
  <x:conditionalFormatting sqref="C5:C12">
    <x:cfRule type="expression" dxfId="135" priority="1">
      <x:formula>C5="Approved"</x:formula>
    </x:cfRule>
    <x:cfRule type="expression" dxfId="136" priority="2">
      <x:formula>C5="Done"</x:formula>
    </x:cfRule>
    <x:cfRule type="expression" dxfId="137" priority="3">
      <x:formula>C5="Pass"</x:formula>
    </x:cfRule>
    <x:cfRule type="expression" dxfId="138" priority="4">
      <x:formula>C5="Blocked"</x:formula>
    </x:cfRule>
    <x:cfRule type="expression" dxfId="139" priority="5">
      <x:formula>C5="Fail"</x:formula>
    </x:cfRule>
    <x:cfRule type="expression" dxfId="140" priority="6">
      <x:formula>C5="For review"</x:formula>
    </x:cfRule>
    <x:cfRule type="expression" dxfId="141" priority="7">
      <x:formula>C5="Pending"</x:formula>
    </x:cfRule>
    <x:cfRule type="expression" dxfId="142" priority="8">
      <x:formula>C5="Deferred"</x:formula>
    </x:cfRule>
    <x:cfRule type="expression" dxfId="143" priority="9">
      <x:formula>C5="Not applicable"</x:formula>
    </x:cfRule>
  </x:conditionalFormatting>
  <x:dataValidations count="1">
    <x:dataValidation type="list" sqref="C5:C12">
      <x:formula1>"Pending,Proposed default,Approved,Blocked,Deferred,Rejected"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5fc80d2036453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18" hidden="0" customWidth="1"/>
    <x:col min="4" max="4" width="40" hidden="0" customWidth="1"/>
    <x:col min="5" max="5" width="23" hidden="0" customWidth="1"/>
    <x:col min="6" max="6" width="19" hidden="0" customWidth="1"/>
    <x:col min="7" max="7" width="40" hidden="0" customWidth="1"/>
    <x:col min="8" max="8" width="20" hidden="0" customWidth="1"/>
    <x:col min="9" max="9" width="38" hidden="0" customWidth="1"/>
  </x:cols>
  <x:sheetData>
    <x:row r="1" ht="30" customHeight="1">
      <x:c r="A1" s="4" t="str">
        <x:v>QA  /  CURIOUSLABS CINEMATIC BUILD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11" t="str">
        <x:v>35 checks, not executed in this planning task. DOM dimensions and blank captures do not count as successful visual evidence.</x:v>
      </x:c>
      <x:c r="B2" s="11"/>
      <x:c r="C2" s="11"/>
      <x:c r="D2" s="11"/>
      <x:c r="E2" s="11"/>
      <x:c r="F2" s="11"/>
      <x:c r="G2" s="11"/>
      <x:c r="H2" s="11"/>
      <x:c r="I2" s="11"/>
    </x:row>
    <x:row r="4" ht="32" customHeight="1">
      <x:c r="A4" s="24" t="str">
        <x:v>QA ID</x:v>
      </x:c>
      <x:c r="B4" s="24" t="str">
        <x:v>Area</x:v>
      </x:c>
      <x:c r="C4" s="24" t="str">
        <x:v>Status</x:v>
      </x:c>
      <x:c r="D4" s="24" t="str">
        <x:v>Pass condition</x:v>
      </x:c>
      <x:c r="E4" s="24" t="str">
        <x:v>Scope</x:v>
      </x:c>
      <x:c r="F4" s="24" t="str">
        <x:v>Priority</x:v>
      </x:c>
      <x:c r="G4" s="24" t="str">
        <x:v>Evidence link</x:v>
      </x:c>
      <x:c r="H4" s="24" t="str">
        <x:v>Tester</x:v>
      </x:c>
      <x:c r="I4" s="24" t="str">
        <x:v>Notes</x:v>
      </x:c>
    </x:row>
    <x:row r="5" ht="74" customHeight="1">
      <x:c r="A5" s="28" t="str">
        <x:v>QA-01</x:v>
      </x:c>
      <x:c r="B5" s="18" t="str">
        <x:v>Source / scope</x:v>
      </x:c>
      <x:c r="C5" s="30" t="str">
        <x:v>Not tested</x:v>
      </x:c>
      <x:c r="D5" s="18" t="str">
        <x:v>Record baseline SHA and inspect current tree before future edits; do not overwrite unpublished local work.</x:v>
      </x:c>
      <x:c r="E5" s="18" t="str">
        <x:v>All</x:v>
      </x:c>
      <x:c r="F5" s="18" t="str">
        <x:v>Required</x:v>
      </x:c>
      <x:c r="G5" s="18" t="str"/>
      <x:c r="H5" s="18" t="str"/>
      <x:c r="I5" s="18" t="str"/>
    </x:row>
    <x:row r="6" ht="74" customHeight="1">
      <x:c r="A6" s="28" t="str">
        <x:v>QA-02</x:v>
      </x:c>
      <x:c r="B6" s="18" t="str">
        <x:v>Copy</x:v>
      </x:c>
      <x:c r="C6" s="30" t="str">
        <x:v>Not tested</x:v>
      </x:c>
      <x:c r="D6" s="18" t="str">
        <x:v>Final scene wording matches approved COPY_DECK_v2 and locked hierarchy; CP-01–09 resolved.</x:v>
      </x:c>
      <x:c r="E6" s="18" t="str">
        <x:v>All</x:v>
      </x:c>
      <x:c r="F6" s="18" t="str">
        <x:v>Required</x:v>
      </x:c>
      <x:c r="G6" s="18" t="str"/>
      <x:c r="H6" s="18" t="str"/>
      <x:c r="I6" s="18" t="str"/>
    </x:row>
    <x:row r="7" ht="74" customHeight="1">
      <x:c r="A7" s="28" t="str">
        <x:v>QA-03</x:v>
      </x:c>
      <x:c r="B7" s="18" t="str">
        <x:v>Claims</x:v>
      </x:c>
      <x:c r="C7" s="30" t="str">
        <x:v>Not tested</x:v>
      </x:c>
      <x:c r="D7" s="18" t="str">
        <x:v>No fabricated portraits, signatures, case studies, factory history, performance figures or guarantees.</x:v>
      </x:c>
      <x:c r="E7" s="18" t="str">
        <x:v>SC-02/03/05/08</x:v>
      </x:c>
      <x:c r="F7" s="18" t="str">
        <x:v>Required</x:v>
      </x:c>
      <x:c r="G7" s="18" t="str"/>
      <x:c r="H7" s="18" t="str"/>
      <x:c r="I7" s="18" t="str"/>
    </x:row>
    <x:row r="8" ht="74" customHeight="1">
      <x:c r="A8" s="28" t="str">
        <x:v>QA-04</x:v>
      </x:c>
      <x:c r="B8" s="18" t="str">
        <x:v>Initial visibility</x:v>
      </x:c>
      <x:c r="C8" s="30" t="str">
        <x:v>Not tested</x:v>
      </x:c>
      <x:c r="D8" s="18" t="str">
        <x:v>Hero headline, lead, invitation, actions and meta visible without scrolling.</x:v>
      </x:c>
      <x:c r="E8" s="18" t="str">
        <x:v>SC-01</x:v>
      </x:c>
      <x:c r="F8" s="18" t="str">
        <x:v>Required</x:v>
      </x:c>
      <x:c r="G8" s="18" t="str"/>
      <x:c r="H8" s="18" t="str"/>
      <x:c r="I8" s="18" t="str"/>
    </x:row>
    <x:row r="9" ht="74" customHeight="1">
      <x:c r="A9" s="28" t="str">
        <x:v>QA-05</x:v>
      </x:c>
      <x:c r="B9" s="18" t="str">
        <x:v>Desktop visual</x:v>
      </x:c>
      <x:c r="C9" s="30" t="str">
        <x:v>Not tested</x:v>
      </x:c>
      <x:c r="D9" s="18" t="str">
        <x:v>Capture every scene at 1440×900 and confirm composition, crop and distinct rhythm.</x:v>
      </x:c>
      <x:c r="E9" s="18" t="str">
        <x:v>All</x:v>
      </x:c>
      <x:c r="F9" s="18" t="str">
        <x:v>Required</x:v>
      </x:c>
      <x:c r="G9" s="18" t="str"/>
      <x:c r="H9" s="18" t="str"/>
      <x:c r="I9" s="18" t="str"/>
    </x:row>
    <x:row r="10" ht="74" customHeight="1">
      <x:c r="A10" s="28" t="str">
        <x:v>QA-06</x:v>
      </x:c>
      <x:c r="B10" s="18" t="str">
        <x:v>Phone visual</x:v>
      </x:c>
      <x:c r="C10" s="30" t="str">
        <x:v>Not tested</x:v>
      </x:c>
      <x:c r="D10" s="18" t="str">
        <x:v>Capture every scene at 390×844; same information available, no tiny desktop diagrams.</x:v>
      </x:c>
      <x:c r="E10" s="18" t="str">
        <x:v>All</x:v>
      </x:c>
      <x:c r="F10" s="18" t="str">
        <x:v>Required</x:v>
      </x:c>
      <x:c r="G10" s="18" t="str"/>
      <x:c r="H10" s="18" t="str"/>
      <x:c r="I10" s="18" t="str"/>
    </x:row>
    <x:row r="11" ht="74" customHeight="1">
      <x:c r="A11" s="28" t="str">
        <x:v>QA-07</x:v>
      </x:c>
      <x:c r="B11" s="18" t="str">
        <x:v>Narrow phone</x:v>
      </x:c>
      <x:c r="C11" s="30" t="str">
        <x:v>Not tested</x:v>
      </x:c>
      <x:c r="D11" s="18" t="str">
        <x:v>320×568: no horizontal document overflow, all touch controls readable/reachable.</x:v>
      </x:c>
      <x:c r="E11" s="18" t="str">
        <x:v>All</x:v>
      </x:c>
      <x:c r="F11" s="18" t="str">
        <x:v>Required</x:v>
      </x:c>
      <x:c r="G11" s="18" t="str"/>
      <x:c r="H11" s="18" t="str"/>
      <x:c r="I11" s="18" t="str"/>
    </x:row>
    <x:row r="12" ht="74" customHeight="1">
      <x:c r="A12" s="28" t="str">
        <x:v>QA-08</x:v>
      </x:c>
      <x:c r="B12" s="18" t="str">
        <x:v>Tablet</x:v>
      </x:c>
      <x:c r="C12" s="30" t="str">
        <x:v>Not tested</x:v>
      </x:c>
      <x:c r="D12" s="18" t="str">
        <x:v>768×1024: intentionally stacked/two-column layouts, no half-desktop collisions.</x:v>
      </x:c>
      <x:c r="E12" s="18" t="str">
        <x:v>All</x:v>
      </x:c>
      <x:c r="F12" s="18" t="str">
        <x:v>Required</x:v>
      </x:c>
      <x:c r="G12" s="18" t="str"/>
      <x:c r="H12" s="18" t="str"/>
      <x:c r="I12" s="18" t="str"/>
    </x:row>
    <x:row r="13" ht="74" customHeight="1">
      <x:c r="A13" s="28" t="str">
        <x:v>QA-09</x:v>
      </x:c>
      <x:c r="B13" s="18" t="str">
        <x:v>Small desktop</x:v>
      </x:c>
      <x:c r="C13" s="30" t="str">
        <x:v>Not tested</x:v>
      </x:c>
      <x:c r="D13" s="18" t="str">
        <x:v>1024×768: no heading/diagram/card overlap; wide art still has text-safe zone.</x:v>
      </x:c>
      <x:c r="E13" s="18" t="str">
        <x:v>All</x:v>
      </x:c>
      <x:c r="F13" s="18" t="str">
        <x:v>Required</x:v>
      </x:c>
      <x:c r="G13" s="18" t="str"/>
      <x:c r="H13" s="18" t="str"/>
      <x:c r="I13" s="18" t="str"/>
    </x:row>
    <x:row r="14" ht="74" customHeight="1">
      <x:c r="A14" s="28" t="str">
        <x:v>QA-10</x:v>
      </x:c>
      <x:c r="B14" s="18" t="str">
        <x:v>Large desktop</x:v>
      </x:c>
      <x:c r="C14" s="30" t="str">
        <x:v>Not tested</x:v>
      </x:c>
      <x:c r="D14" s="18" t="str">
        <x:v>1920×1080: content stays bounded while art may bleed beyond it.</x:v>
      </x:c>
      <x:c r="E14" s="18" t="str">
        <x:v>All</x:v>
      </x:c>
      <x:c r="F14" s="18" t="str">
        <x:v>Recommended</x:v>
      </x:c>
      <x:c r="G14" s="18" t="str"/>
      <x:c r="H14" s="18" t="str"/>
      <x:c r="I14" s="18" t="str"/>
    </x:row>
    <x:row r="15" ht="74" customHeight="1">
      <x:c r="A15" s="28" t="str">
        <x:v>QA-11</x:v>
      </x:c>
      <x:c r="B15" s="18" t="str">
        <x:v>Text enlargement</x:v>
      </x:c>
      <x:c r="C15" s="30" t="str">
        <x:v>Not tested</x:v>
      </x:c>
      <x:c r="D15" s="18" t="str">
        <x:v>At 200% zoom/enlarged text, no clipped labels or locked scene heights; overflow transforms to stacked layout.</x:v>
      </x:c>
      <x:c r="E15" s="18" t="str">
        <x:v>All</x:v>
      </x:c>
      <x:c r="F15" s="18" t="str">
        <x:v>Required</x:v>
      </x:c>
      <x:c r="G15" s="18" t="str"/>
      <x:c r="H15" s="18" t="str"/>
      <x:c r="I15" s="18" t="str"/>
    </x:row>
    <x:row r="16" ht="74" customHeight="1">
      <x:c r="A16" s="28" t="str">
        <x:v>QA-12</x:v>
      </x:c>
      <x:c r="B16" s="18" t="str">
        <x:v>Reading order</x:v>
      </x:c>
      <x:c r="C16" s="30" t="str">
        <x:v>Not tested</x:v>
      </x:c>
      <x:c r="D16" s="18" t="str">
        <x:v>Keyboard and assistive order follow the narrative; only one h1, clear section landmarks.</x:v>
      </x:c>
      <x:c r="E16" s="18" t="str">
        <x:v>All</x:v>
      </x:c>
      <x:c r="F16" s="18" t="str">
        <x:v>Required</x:v>
      </x:c>
      <x:c r="G16" s="18" t="str"/>
      <x:c r="H16" s="18" t="str"/>
      <x:c r="I16" s="18" t="str"/>
    </x:row>
    <x:row r="17" ht="74" customHeight="1">
      <x:c r="A17" s="28" t="str">
        <x:v>QA-13</x:v>
      </x:c>
      <x:c r="B17" s="18" t="str">
        <x:v>Focus</x:v>
      </x:c>
      <x:c r="C17" s="30" t="str">
        <x:v>Not tested</x:v>
      </x:c>
      <x:c r="D17" s="18" t="str">
        <x:v>Visible focus on every control; close returns focus; hidden details contain no reachable hidden controls.</x:v>
      </x:c>
      <x:c r="E17" s="18" t="str">
        <x:v>All</x:v>
      </x:c>
      <x:c r="F17" s="18" t="str">
        <x:v>Required</x:v>
      </x:c>
      <x:c r="G17" s="18" t="str"/>
      <x:c r="H17" s="18" t="str"/>
      <x:c r="I17" s="18" t="str"/>
    </x:row>
    <x:row r="18" ht="74" customHeight="1">
      <x:c r="A18" s="28" t="str">
        <x:v>QA-14</x:v>
      </x:c>
      <x:c r="B18" s="18" t="str">
        <x:v>Door track</x:v>
      </x:c>
      <x:c r="C18" s="30" t="str">
        <x:v>Not tested</x:v>
      </x:c>
      <x:c r="D18" s="18" t="str">
        <x:v>Both audiences reachable by keyboard, touch and previous/next; vertical page scrolling never trapped.</x:v>
      </x:c>
      <x:c r="E18" s="18" t="str">
        <x:v>SC-02</x:v>
      </x:c>
      <x:c r="F18" s="18" t="str">
        <x:v>Required</x:v>
      </x:c>
      <x:c r="G18" s="18" t="str"/>
      <x:c r="H18" s="18" t="str"/>
      <x:c r="I18" s="18" t="str"/>
    </x:row>
    <x:row r="19" ht="74" customHeight="1">
      <x:c r="A19" s="28" t="str">
        <x:v>QA-15</x:v>
      </x:c>
      <x:c r="B19" s="18" t="str">
        <x:v>Wall response</x:v>
      </x:c>
      <x:c r="C19" s="30" t="str">
        <x:v>Not tested</x:v>
      </x:c>
      <x:c r="D19" s="18" t="str">
        <x:v>Each problem and response can be consumed without hover; no duplicate exposed front/back text.</x:v>
      </x:c>
      <x:c r="E19" s="18" t="str">
        <x:v>SC-03</x:v>
      </x:c>
      <x:c r="F19" s="18" t="str">
        <x:v>Required</x:v>
      </x:c>
      <x:c r="G19" s="18" t="str"/>
      <x:c r="H19" s="18" t="str"/>
      <x:c r="I19" s="18" t="str"/>
    </x:row>
    <x:row r="20" ht="74" customHeight="1">
      <x:c r="A20" s="28" t="str">
        <x:v>QA-16</x:v>
      </x:c>
      <x:c r="B20" s="18" t="str">
        <x:v>Harness diagram</x:v>
      </x:c>
      <x:c r="C20" s="30" t="str">
        <x:v>Not tested</x:v>
      </x:c>
      <x:c r="D20" s="18" t="str">
        <x:v>Nodes readable at 320px or replaced with equivalent labeled list; no false gauges.</x:v>
      </x:c>
      <x:c r="E20" s="18" t="str">
        <x:v>SC-04</x:v>
      </x:c>
      <x:c r="F20" s="18" t="str">
        <x:v>Required</x:v>
      </x:c>
      <x:c r="G20" s="18" t="str"/>
      <x:c r="H20" s="18" t="str"/>
      <x:c r="I20" s="18" t="str"/>
    </x:row>
    <x:row r="21" ht="74" customHeight="1">
      <x:c r="A21" s="28" t="str">
        <x:v>QA-17</x:v>
      </x:c>
      <x:c r="B21" s="18" t="str">
        <x:v>All readings</x:v>
      </x:c>
      <x:c r="C21" s="30" t="str">
        <x:v>Not tested</x:v>
      </x:c>
      <x:c r="D21" s="18" t="str">
        <x:v>Open/close R1–R4 individually and more than one at once; expanded panel adds distinct information.</x:v>
      </x:c>
      <x:c r="E21" s="18" t="str">
        <x:v>SC-06</x:v>
      </x:c>
      <x:c r="F21" s="18" t="str">
        <x:v>Required</x:v>
      </x:c>
      <x:c r="G21" s="18" t="str"/>
      <x:c r="H21" s="18" t="str"/>
      <x:c r="I21" s="18" t="str"/>
    </x:row>
    <x:row r="22" ht="74" customHeight="1">
      <x:c r="A22" s="28" t="str">
        <x:v>QA-18</x:v>
      </x:c>
      <x:c r="B22" s="18" t="str">
        <x:v>Cold reading links</x:v>
      </x:c>
      <x:c r="C22" s="30" t="str">
        <x:v>Not tested</x:v>
      </x:c>
      <x:c r="D22" s="18" t="str">
        <x:v>Direct load and refresh #method, #concept, #technology, #experience land/open correctly.</x:v>
      </x:c>
      <x:c r="E22" s="18" t="str">
        <x:v>SC-06</x:v>
      </x:c>
      <x:c r="F22" s="18" t="str">
        <x:v>Required</x:v>
      </x:c>
      <x:c r="G22" s="18" t="str"/>
      <x:c r="H22" s="18" t="str"/>
      <x:c r="I22" s="18" t="str"/>
    </x:row>
    <x:row r="23" ht="74" customHeight="1">
      <x:c r="A23" s="28" t="str">
        <x:v>QA-19</x:v>
      </x:c>
      <x:c r="B23" s="18" t="str">
        <x:v>Section links</x:v>
      </x:c>
      <x:c r="C23" s="30" t="str">
        <x:v>Not tested</x:v>
      </x:c>
      <x:c r="D23" s="18" t="str">
        <x:v>Direct load and click #overview/#audiences/#contribution/#person/#approach/#engagement/#questions/#contact.</x:v>
      </x:c>
      <x:c r="E23" s="18" t="str">
        <x:v>All</x:v>
      </x:c>
      <x:c r="F23" s="18" t="str">
        <x:v>Required</x:v>
      </x:c>
      <x:c r="G23" s="18" t="str"/>
      <x:c r="H23" s="18" t="str"/>
      <x:c r="I23" s="18" t="str"/>
    </x:row>
    <x:row r="24" ht="74" customHeight="1">
      <x:c r="A24" s="28" t="str">
        <x:v>QA-20</x:v>
      </x:c>
      <x:c r="B24" s="18" t="str">
        <x:v>Navigation history</x:v>
      </x:c>
      <x:c r="C24" s="30" t="str">
        <x:v>Not tested</x:v>
      </x:c>
      <x:c r="D24" s="18" t="str">
        <x:v>Back/forward and close do not strand focus or fight user scroll; titles clear navbar.</x:v>
      </x:c>
      <x:c r="E24" s="18" t="str">
        <x:v>All</x:v>
      </x:c>
      <x:c r="F24" s="18" t="str">
        <x:v>Required</x:v>
      </x:c>
      <x:c r="G24" s="18" t="str"/>
      <x:c r="H24" s="18" t="str"/>
      <x:c r="I24" s="18" t="str"/>
    </x:row>
    <x:row r="25" ht="74" customHeight="1">
      <x:c r="A25" s="28" t="str">
        <x:v>QA-21</x:v>
      </x:c>
      <x:c r="B25" s="18" t="str">
        <x:v>Engagement order</x:v>
      </x:c>
      <x:c r="C25" s="30" t="str">
        <x:v>Not tested</x:v>
      </x:c>
      <x:c r="D25" s="18" t="str">
        <x:v>Discuss/Propose/Agree/Deliver and three document types match Q13.</x:v>
      </x:c>
      <x:c r="E25" s="18" t="str">
        <x:v>SC-07</x:v>
      </x:c>
      <x:c r="F25" s="18" t="str">
        <x:v>Required</x:v>
      </x:c>
      <x:c r="G25" s="18" t="str"/>
      <x:c r="H25" s="18" t="str"/>
      <x:c r="I25" s="18" t="str"/>
    </x:row>
    <x:row r="26" ht="74" customHeight="1">
      <x:c r="A26" s="28" t="str">
        <x:v>QA-22</x:v>
      </x:c>
      <x:c r="B26" s="18" t="str">
        <x:v>FAQ retention</x:v>
      </x:c>
      <x:c r="C26" s="30" t="str">
        <x:v>Not tested</x:v>
      </x:c>
      <x:c r="D26" s="18" t="str">
        <x:v>Every baseline question is retained or explicitly approved as merged; reveal-all works.</x:v>
      </x:c>
      <x:c r="E26" s="18" t="str">
        <x:v>SC-08</x:v>
      </x:c>
      <x:c r="F26" s="18" t="str">
        <x:v>Required</x:v>
      </x:c>
      <x:c r="G26" s="18" t="str"/>
      <x:c r="H26" s="18" t="str"/>
      <x:c r="I26" s="18" t="str"/>
    </x:row>
    <x:row r="27" ht="74" customHeight="1">
      <x:c r="A27" s="28" t="str">
        <x:v>QA-23</x:v>
      </x:c>
      <x:c r="B27" s="18" t="str">
        <x:v>Pending contacts</x:v>
      </x:c>
      <x:c r="C27" s="30" t="str">
        <x:v>Not tested</x:v>
      </x:c>
      <x:c r="D27" s="18" t="str">
        <x:v>No dead icons, booking/calendar claims, QR placeholders or # links that pretend to contact.</x:v>
      </x:c>
      <x:c r="E27" s="18" t="str">
        <x:v>SC-09</x:v>
      </x:c>
      <x:c r="F27" s="18" t="str">
        <x:v>Required</x:v>
      </x:c>
      <x:c r="G27" s="18" t="str"/>
      <x:c r="H27" s="18" t="str"/>
      <x:c r="I27" s="18" t="str"/>
    </x:row>
    <x:row r="28" ht="74" customHeight="1">
      <x:c r="A28" s="28" t="str">
        <x:v>QA-24</x:v>
      </x:c>
      <x:c r="B28" s="18" t="str">
        <x:v>Ready contacts</x:v>
      </x:c>
      <x:c r="C28" s="30" t="str">
        <x:v>Not tested</x:v>
      </x:c>
      <x:c r="D28" s="18" t="str">
        <x:v>Approved email and messaging destinations work; copy feedback accurate; QR resolves to same destination.</x:v>
      </x:c>
      <x:c r="E28" s="18" t="str">
        <x:v>SC-09</x:v>
      </x:c>
      <x:c r="F28" s="18" t="str">
        <x:v>Release gate</x:v>
      </x:c>
      <x:c r="G28" s="18" t="str"/>
      <x:c r="H28" s="18" t="str"/>
      <x:c r="I28" s="18" t="str"/>
    </x:row>
    <x:row r="29" ht="74" customHeight="1">
      <x:c r="A29" s="28" t="str">
        <x:v>QA-25</x:v>
      </x:c>
      <x:c r="B29" s="18" t="str">
        <x:v>Reduced motion</x:v>
      </x:c>
      <x:c r="C29" s="30" t="str">
        <x:v>Not tested</x:v>
      </x:c>
      <x:c r="D29" s="18" t="str">
        <x:v>Full information, static final art, no parallax/path drawing/sticky sequence required.</x:v>
      </x:c>
      <x:c r="E29" s="18" t="str">
        <x:v>All</x:v>
      </x:c>
      <x:c r="F29" s="18" t="str">
        <x:v>Required</x:v>
      </x:c>
      <x:c r="G29" s="18" t="str"/>
      <x:c r="H29" s="18" t="str"/>
      <x:c r="I29" s="18" t="str"/>
    </x:row>
    <x:row r="30" ht="74" customHeight="1">
      <x:c r="A30" s="28" t="str">
        <x:v>QA-26</x:v>
      </x:c>
      <x:c r="B30" s="18" t="str">
        <x:v>Art failure</x:v>
      </x:c>
      <x:c r="C30" s="30" t="str">
        <x:v>Not tested</x:v>
      </x:c>
      <x:c r="D30" s="18" t="str">
        <x:v>Disable or fail a background request; content, layout, controls and contrast remain usable.</x:v>
      </x:c>
      <x:c r="E30" s="18" t="str">
        <x:v>All</x:v>
      </x:c>
      <x:c r="F30" s="18" t="str">
        <x:v>Required</x:v>
      </x:c>
      <x:c r="G30" s="18" t="str"/>
      <x:c r="H30" s="18" t="str"/>
      <x:c r="I30" s="18" t="str"/>
    </x:row>
    <x:row r="31" ht="74" customHeight="1">
      <x:c r="A31" s="28" t="str">
        <x:v>QA-27</x:v>
      </x:c>
      <x:c r="B31" s="18" t="str">
        <x:v>Image provenance</x:v>
      </x:c>
      <x:c r="C31" s="30" t="str">
        <x:v>Not tested</x:v>
      </x:c>
      <x:c r="D31" s="18" t="str">
        <x:v>Record approved source, generation or license, crops, dimensions, alt/caption choice. Verify any named place.</x:v>
      </x:c>
      <x:c r="E31" s="18" t="str">
        <x:v>All artwork</x:v>
      </x:c>
      <x:c r="F31" s="18" t="str">
        <x:v>Required</x:v>
      </x:c>
      <x:c r="G31" s="18" t="str"/>
      <x:c r="H31" s="18" t="str"/>
      <x:c r="I31" s="18" t="str"/>
    </x:row>
    <x:row r="32" ht="74" customHeight="1">
      <x:c r="A32" s="28" t="str">
        <x:v>QA-28</x:v>
      </x:c>
      <x:c r="B32" s="18" t="str">
        <x:v>Load budget</x:v>
      </x:c>
      <x:c r="C32" s="30" t="str">
        <x:v>Not tested</x:v>
      </x:c>
      <x:c r="D32" s="18" t="str">
        <x:v>Check hero prioritization, below-fold lazy loading, explicit image dimensions, and per-viewport transferred art.</x:v>
      </x:c>
      <x:c r="E32" s="18" t="str">
        <x:v>All</x:v>
      </x:c>
      <x:c r="F32" s="18" t="str">
        <x:v>Required</x:v>
      </x:c>
      <x:c r="G32" s="18" t="str"/>
      <x:c r="H32" s="18" t="str"/>
      <x:c r="I32" s="18" t="str"/>
    </x:row>
    <x:row r="33" ht="74" customHeight="1">
      <x:c r="A33" s="28" t="str">
        <x:v>QA-29</x:v>
      </x:c>
      <x:c r="B33" s="18" t="str">
        <x:v>Runtime / cleanup</x:v>
      </x:c>
      <x:c r="C33" s="30" t="str">
        <x:v>Not tested</x:v>
      </x:c>
      <x:c r="D33" s="18" t="str">
        <x:v>No new runtime errors; motion listeners/observers clean up on route changes; no extra dependencies or global tokens.</x:v>
      </x:c>
      <x:c r="E33" s="18" t="str">
        <x:v>All</x:v>
      </x:c>
      <x:c r="F33" s="18" t="str">
        <x:v>Required</x:v>
      </x:c>
      <x:c r="G33" s="18" t="str"/>
      <x:c r="H33" s="18" t="str"/>
      <x:c r="I33" s="18" t="str"/>
    </x:row>
    <x:row r="34" ht="74" customHeight="1">
      <x:c r="A34" s="28" t="str">
        <x:v>QA-30</x:v>
      </x:c>
      <x:c r="B34" s="18" t="str">
        <x:v>Contrast / touch</x:v>
      </x:c>
      <x:c r="C34" s="30" t="str">
        <x:v>Not tested</x:v>
      </x:c>
      <x:c r="D34" s="18" t="str">
        <x:v>Actual art-backed text remains legible. Target 4.5:1 body, 3:1 large text; controls at least 44×44px under this plan.</x:v>
      </x:c>
      <x:c r="E34" s="18" t="str">
        <x:v>All</x:v>
      </x:c>
      <x:c r="F34" s="18" t="str">
        <x:v>Required</x:v>
      </x:c>
      <x:c r="G34" s="18" t="str"/>
      <x:c r="H34" s="18" t="str"/>
      <x:c r="I34" s="18" t="str"/>
    </x:row>
    <x:row r="35" ht="74" customHeight="1">
      <x:c r="A35" s="28" t="str">
        <x:v>QA-31</x:v>
      </x:c>
      <x:c r="B35" s="18" t="str">
        <x:v>Real phone</x:v>
      </x:c>
      <x:c r="C35" s="30" t="str">
        <x:v>Not tested</x:v>
      </x:c>
      <x:c r="D35" s="18" t="str">
        <x:v>Owner/device check on Safari iOS and/or Android browser; label emulator-only checks accurately.</x:v>
      </x:c>
      <x:c r="E35" s="18" t="str">
        <x:v>All</x:v>
      </x:c>
      <x:c r="F35" s="18" t="str">
        <x:v>Required</x:v>
      </x:c>
      <x:c r="G35" s="18" t="str"/>
      <x:c r="H35" s="18" t="str"/>
      <x:c r="I35" s="18" t="str"/>
    </x:row>
    <x:row r="36" ht="74" customHeight="1">
      <x:c r="A36" s="28" t="str">
        <x:v>QA-32</x:v>
      </x:c>
      <x:c r="B36" s="18" t="str">
        <x:v>Screenshot blanking</x:v>
      </x:c>
      <x:c r="C36" s="30" t="str">
        <x:v>Not tested</x:v>
      </x:c>
      <x:c r="D36" s="18" t="str">
        <x:v>If capture blanks below fold, record capture failure, inspect viewport state and get real-browser evidence; JS dimensions alone cannot mark visual QA passed.</x:v>
      </x:c>
      <x:c r="E36" s="18" t="str">
        <x:v>All</x:v>
      </x:c>
      <x:c r="F36" s="18" t="str">
        <x:v>Required</x:v>
      </x:c>
      <x:c r="G36" s="18" t="str"/>
      <x:c r="H36" s="18" t="str"/>
      <x:c r="I36" s="18" t="str"/>
    </x:row>
    <x:row r="37" ht="74" customHeight="1">
      <x:c r="A37" s="28" t="str">
        <x:v>QA-33</x:v>
      </x:c>
      <x:c r="B37" s="18" t="str">
        <x:v>Home regression</x:v>
      </x:c>
      <x:c r="C37" s="30" t="str">
        <x:v>Not tested</x:v>
      </x:c>
      <x:c r="D37" s="18" t="str">
        <x:v>Existing homepage/product/nav unchanged. If shared backdrop is adjusted, verify / and /ai-consultation.</x:v>
      </x:c>
      <x:c r="E37" s="18" t="str">
        <x:v>SC-00/10</x:v>
      </x:c>
      <x:c r="F37" s="18" t="str">
        <x:v>Required</x:v>
      </x:c>
      <x:c r="G37" s="18" t="str"/>
      <x:c r="H37" s="18" t="str"/>
      <x:c r="I37" s="18" t="str"/>
    </x:row>
    <x:row r="38" ht="74" customHeight="1">
      <x:c r="A38" s="28" t="str">
        <x:v>QA-34</x:v>
      </x:c>
      <x:c r="B38" s="18" t="str">
        <x:v>Metadata / publication</x:v>
      </x:c>
      <x:c r="C38" s="30" t="str">
        <x:v>Not tested</x:v>
      </x:c>
      <x:c r="D38" s="18" t="str">
        <x:v>Page title, description, social preview and footer agree with approved copy; noindex remains until owner authorizes removal.</x:v>
      </x:c>
      <x:c r="E38" s="18" t="str">
        <x:v>SC-00/09</x:v>
      </x:c>
      <x:c r="F38" s="18" t="str">
        <x:v>Required</x:v>
      </x:c>
      <x:c r="G38" s="18" t="str"/>
      <x:c r="H38" s="18" t="str"/>
      <x:c r="I38" s="18" t="str"/>
    </x:row>
    <x:row r="39" ht="74" customHeight="1">
      <x:c r="A39" s="28" t="str">
        <x:v>QA-35</x:v>
      </x:c>
      <x:c r="B39" s="18" t="str">
        <x:v>Owner review</x:v>
      </x:c>
      <x:c r="C39" s="30" t="str">
        <x:v>Not tested</x:v>
      </x:c>
      <x:c r="D39" s="18" t="str">
        <x:v>Owner approves desktop, phone, key interactive states and open issues before any commit/push/release instruction.</x:v>
      </x:c>
      <x:c r="E39" s="18" t="str">
        <x:v>All</x:v>
      </x:c>
      <x:c r="F39" s="18" t="str">
        <x:v>Release gate</x:v>
      </x:c>
      <x:c r="G39" s="18" t="str"/>
      <x:c r="H39" s="18" t="str"/>
      <x:c r="I39" s="18" t="str"/>
    </x:row>
  </x:sheetData>
  <x:mergeCells>
    <x:mergeCell ref="A1:I1"/>
    <x:mergeCell ref="A2:I2"/>
  </x:mergeCells>
  <x:conditionalFormatting sqref="C5:C39">
    <x:cfRule type="expression" dxfId="144" priority="1">
      <x:formula>C5="Approved"</x:formula>
    </x:cfRule>
    <x:cfRule type="expression" dxfId="145" priority="2">
      <x:formula>C5="Done"</x:formula>
    </x:cfRule>
    <x:cfRule type="expression" dxfId="146" priority="3">
      <x:formula>C5="Pass"</x:formula>
    </x:cfRule>
    <x:cfRule type="expression" dxfId="147" priority="4">
      <x:formula>C5="Blocked"</x:formula>
    </x:cfRule>
    <x:cfRule type="expression" dxfId="148" priority="5">
      <x:formula>C5="Fail"</x:formula>
    </x:cfRule>
    <x:cfRule type="expression" dxfId="149" priority="6">
      <x:formula>C5="For review"</x:formula>
    </x:cfRule>
    <x:cfRule type="expression" dxfId="150" priority="7">
      <x:formula>C5="Pending"</x:formula>
    </x:cfRule>
    <x:cfRule type="expression" dxfId="151" priority="8">
      <x:formula>C5="Deferred"</x:formula>
    </x:cfRule>
    <x:cfRule type="expression" dxfId="152" priority="9">
      <x:formula>C5="Not applicable"</x:formula>
    </x:cfRule>
  </x:conditionalFormatting>
  <x:dataValidations count="1">
    <x:dataValidation type="list" sqref="C5:C39">
      <x:formula1>"Not tested,Pass,Fail,Blocked,Not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b51a50237c40a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40" hidden="0" customWidth="1"/>
    <x:col min="4" max="4" width="40" hidden="0" customWidth="1"/>
    <x:col min="5" max="5" width="40" hidden="0" customWidth="1"/>
  </x:cols>
  <x:sheetData>
    <x:row r="1" ht="30" customHeight="1">
      <x:c r="A1" s="4" t="str">
        <x:v>SOURCES  /  CURIOUSLABS CINEMATIC BUILD</x:v>
      </x:c>
      <x:c r="B1" s="4"/>
      <x:c r="C1" s="4"/>
      <x:c r="D1" s="4"/>
      <x:c r="E1" s="4"/>
    </x:row>
    <x:row r="2" ht="42" customHeight="1">
      <x:c r="A2" s="11" t="str">
        <x:v>Pinned repository sources. Read SRC-01, SRC-02 and SRC-03 in that order. Other code citations include the prior source review in this conversation.</x:v>
      </x:c>
      <x:c r="B2" s="11"/>
      <x:c r="C2" s="11"/>
      <x:c r="D2" s="11"/>
      <x:c r="E2" s="11"/>
    </x:row>
    <x:row r="4" ht="32" customHeight="1">
      <x:c r="A4" s="24" t="str">
        <x:v>Source ID</x:v>
      </x:c>
      <x:c r="B4" s="24" t="str">
        <x:v>Source</x:v>
      </x:c>
      <x:c r="C4" s="24" t="str">
        <x:v>Repository path</x:v>
      </x:c>
      <x:c r="D4" s="24" t="str">
        <x:v>Role</x:v>
      </x:c>
      <x:c r="E4" s="24" t="str">
        <x:v>URL</x:v>
      </x:c>
    </x:row>
    <x:row r="5" ht="90" customHeight="1">
      <x:c r="A5" s="28" t="str">
        <x:v>SRC-01</x:v>
      </x:c>
      <x:c r="B5" s="18" t="str">
        <x:v>Locked intent and voice</x:v>
      </x:c>
      <x:c r="C5" s="18" t="str">
        <x:v>Docs_v8/page_Consultation/_FRAMING_LOCKED.md</x:v>
      </x:c>
      <x:c r="D5" s="18" t="str">
        <x:v>Meaning and boundaries. Wins over earlier documents and image text.</x:v>
      </x:c>
      <x:c r="E5" s="18" t="str">
        <x:v>https://github.com/TomaDev23/curious-labs-production/blob/a49e6324c385bad24cf64d5314db241a67c6621e/Docs_v8/page_Consultation/_FRAMING_LOCKED.md</x:v>
      </x:c>
    </x:row>
    <x:row r="6" ht="90" customHeight="1">
      <x:c r="A6" s="28" t="str">
        <x:v>SRC-02</x:v>
      </x:c>
      <x:c r="B6" s="18" t="str">
        <x:v>Current copy deck</x:v>
      </x:c>
      <x:c r="C6" s="18" t="str">
        <x:v>Docs_v8/page_Consultation/COPY_DECK_v2.md</x:v>
      </x:c>
      <x:c r="D6" s="18" t="str">
        <x:v>Wording baseline, not blanket approval of every existing line. Corrections still need approval.</x:v>
      </x:c>
      <x:c r="E6" s="18" t="str">
        <x:v>https://github.com/TomaDev23/curious-labs-production/blob/a49e6324c385bad24cf64d5314db241a67c6621e/Docs_v8/page_Consultation/COPY_DECK_v2.md</x:v>
      </x:c>
    </x:row>
    <x:row r="7" ht="90" customHeight="1">
      <x:c r="A7" s="28" t="str">
        <x:v>SRC-03</x:v>
      </x:c>
      <x:c r="B7" s="18" t="str">
        <x:v>Owner discovery answers</x:v>
      </x:c>
      <x:c r="C7" s="18" t="str">
        <x:v>Docs_v8/page_Consultation/DISCOVERY_ANSWERS_Q1-Q18.md</x:v>
      </x:c>
      <x:c r="D7" s="18" t="str">
        <x:v>Service, recipients, process, languages, geography and publication holds.</x:v>
      </x:c>
      <x:c r="E7" s="18" t="str">
        <x:v>https://github.com/TomaDev23/curious-labs-production/blob/a49e6324c385bad24cf64d5314db241a67c6621e/Docs_v8/page_Consultation/DISCOVERY_ANSWERS_Q1-Q18.md</x:v>
      </x:c>
    </x:row>
    <x:row r="8" ht="90" customHeight="1">
      <x:c r="A8" s="28" t="str">
        <x:v>SRC-04</x:v>
      </x:c>
      <x:c r="B8" s="18" t="str">
        <x:v>Page content</x:v>
      </x:c>
      <x:c r="C8" s="18" t="str">
        <x:v>src/components/consultation/ConsultationContent.jsx</x:v>
      </x:c>
      <x:c r="D8" s="18" t="str">
        <x:v>Existing sections, FAQs and readings at the pinned cut; earlier source review in this conversation.</x:v>
      </x:c>
      <x:c r="E8" s="18" t="str">
        <x:v>https://github.com/TomaDev23/curious-labs-production/blob/a49e6324c385bad24cf64d5314db241a67c6621e/src/components/consultation/ConsultationContent.jsx</x:v>
      </x:c>
    </x:row>
    <x:row r="9" ht="90" customHeight="1">
      <x:c r="A9" s="28" t="str">
        <x:v>SRC-05</x:v>
      </x:c>
      <x:c r="B9" s="18" t="str">
        <x:v>Current visual components</x:v>
      </x:c>
      <x:c r="C9" s="18" t="str">
        <x:v>src/components/consultation/ConsultationGraphs.jsx</x:v>
      </x:c>
      <x:c r="D9" s="18" t="str">
        <x:v>StatTrio, OperatorView, HarnessGraph, TrustSpectrum and FlowGraph; source review in this conversation.</x:v>
      </x:c>
      <x:c r="E9" s="18" t="str">
        <x:v>https://github.com/TomaDev23/curious-labs-production/blob/a49e6324c385bad24cf64d5314db241a67c6621e/src/components/consultation/ConsultationGraphs.jsx</x:v>
      </x:c>
    </x:row>
    <x:row r="10" ht="90" customHeight="1">
      <x:c r="A10" s="28" t="str">
        <x:v>SRC-06</x:v>
      </x:c>
      <x:c r="B10" s="18" t="str">
        <x:v>Page CSS</x:v>
      </x:c>
      <x:c r="C10" s="18" t="str">
        <x:v>src/components/consultation/consultation.css</x:v>
      </x:c>
      <x:c r="D10" s="18" t="str">
        <x:v>Existing scoped styling; exact new geometry below is proposed, not measured.</x:v>
      </x:c>
      <x:c r="E10" s="18" t="str">
        <x:v>https://github.com/TomaDev23/curious-labs-production/blob/a49e6324c385bad24cf64d5314db241a67c6621e/src/components/consultation/consultation.css</x:v>
      </x:c>
    </x:row>
    <x:row r="11" ht="90" customHeight="1">
      <x:c r="A11" s="28" t="str">
        <x:v>SRC-07</x:v>
      </x:c>
      <x:c r="B11" s="18" t="str">
        <x:v>Page shell</x:v>
      </x:c>
      <x:c r="C11" s="18" t="str">
        <x:v>src/pages/ai-consultation.jsx</x:v>
      </x:c>
      <x:c r="D11" s="18" t="str">
        <x:v>Navbar, background, metadata, noindex and footer; source review in this conversation.</x:v>
      </x:c>
      <x:c r="E11" s="18" t="str">
        <x:v>https://github.com/TomaDev23/curious-labs-production/blob/a49e6324c385bad24cf64d5314db241a67c6621e/src/pages/ai-consultation.jsx</x:v>
      </x:c>
    </x:row>
    <x:row r="12" ht="90" customHeight="1">
      <x:c r="A12" s="28" t="str">
        <x:v>SRC-08</x:v>
      </x:c>
      <x:c r="B12" s="18" t="str">
        <x:v>Reading and hash behavior</x:v>
      </x:c>
      <x:c r="C12" s="18" t="str">
        <x:v>src/components/consultation/useConsultationPage.js</x:v>
      </x:c>
      <x:c r="D12" s="18" t="str">
        <x:v>Re-read for this plan: native details, deep links, focus return and user-scroll priority.</x:v>
      </x:c>
      <x:c r="E12" s="18" t="str">
        <x:v>https://github.com/TomaDev23/curious-labs-production/blob/a49e6324c385bad24cf64d5314db241a67c6621e/src/components/consultation/useConsultationPage.js</x:v>
      </x:c>
    </x:row>
    <x:row r="13" ht="90" customHeight="1">
      <x:c r="A13" s="28" t="str">
        <x:v>SRC-09</x:v>
      </x:c>
      <x:c r="B13" s="18" t="str">
        <x:v>Motion primitives</x:v>
      </x:c>
      <x:c r="C13" s="18" t="str">
        <x:v>src/components/consultation/ConsultationMotion.jsx</x:v>
      </x:c>
      <x:c r="D13" s="18" t="str">
        <x:v>Re-read for this plan: Reveal, Stagger, KineticHeading, Parallax and reduced-motion branches.</x:v>
      </x:c>
      <x:c r="E13" s="18" t="str">
        <x:v>https://github.com/TomaDev23/curious-labs-production/blob/a49e6324c385bad24cf64d5314db241a67c6621e/src/components/consultation/ConsultationMotion.jsx</x:v>
      </x:c>
    </x:row>
    <x:row r="14" ht="90" customHeight="1">
      <x:c r="A14" s="28" t="str">
        <x:v>SRC-10</x:v>
      </x:c>
      <x:c r="B14" s="18" t="str">
        <x:v>Earlier integration handoff</x:v>
      </x:c>
      <x:c r="C14" s="18" t="str">
        <x:v>Docs_v8/page_Consultation/NEXT_PASS_HANDOFF.md</x:v>
      </x:c>
      <x:c r="D14" s="18" t="str">
        <x:v>Reference only for scope and homepage seam; not current copy authority.</x:v>
      </x:c>
      <x:c r="E14" s="18" t="str">
        <x:v>https://github.com/TomaDev23/curious-labs-production/blob/a49e6324c385bad24cf64d5314db241a67c6621e/Docs_v8/page_Consultation/NEXT_PASS_HANDOFF.md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6af843e5dd94cf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0" hidden="0" customWidth="1"/>
    <x:col min="3" max="3" width="40" hidden="0" customWidth="1"/>
    <x:col min="4" max="4" width="40" hidden="0" customWidth="1"/>
    <x:col min="5" max="5" width="40" hidden="0" customWidth="1"/>
  </x:cols>
  <x:sheetData>
    <x:row r="1" ht="30" customHeight="1">
      <x:c r="A1" s="4" t="str">
        <x:v>REFERENCES  /  CURIOUSLABS CINEMATIC BUILD</x:v>
      </x:c>
      <x:c r="B1" s="4"/>
      <x:c r="C1" s="4"/>
      <x:c r="D1" s="4"/>
      <x:c r="E1" s="4"/>
    </x:row>
    <x:row r="2" ht="42" customHeight="1">
      <x:c r="A2" s="11" t="str">
        <x:v>Six supplied concept images in the ZIP references directory. Not production assets; full files are preserved for visual comparison.</x:v>
      </x:c>
      <x:c r="B2" s="11"/>
      <x:c r="C2" s="11"/>
      <x:c r="D2" s="11"/>
      <x:c r="E2" s="11"/>
    </x:row>
    <x:row r="4" ht="32" customHeight="1">
      <x:c r="A4" s="24" t="str">
        <x:v>Reference ID</x:v>
      </x:c>
      <x:c r="B4" s="24" t="str">
        <x:v>Mockup</x:v>
      </x:c>
      <x:c r="C4" s="24" t="str">
        <x:v>Bundle file</x:v>
      </x:c>
      <x:c r="D4" s="24" t="str">
        <x:v>Role / limits</x:v>
      </x:c>
      <x:c r="E4" s="24" t="str">
        <x:v>SHA-256</x:v>
      </x:c>
    </x:row>
    <x:row r="5" ht="92" customHeight="1">
      <x:c r="A5" s="28" t="str">
        <x:v>REF-00</x:v>
      </x:c>
      <x:c r="B5" s="18" t="str">
        <x:v>Earth hero</x:v>
      </x:c>
      <x:c r="C5" s="18" t="str">
        <x:v>references/REF-00_ai_mission_control_moonsignal_consultation.png</x:v>
      </x:c>
      <x:c r="D5" s="18" t="str">
        <x:v>Opening globe, black negative space, cream type, lime action. Ignore generated copy and altered homepage placement.</x:v>
      </x:c>
      <x:c r="E5" s="18" t="str">
        <x:v>0ef6c5829e6a6fdb279cd146ef1a8bc23e4a7828175e65c852b6c1b51c4bda5a</x:v>
      </x:c>
    </x:row>
    <x:row r="6" ht="92" customHeight="1">
      <x:c r="A6" s="28" t="str">
        <x:v>REF-01</x:v>
      </x:c>
      <x:c r="B6" s="18" t="str">
        <x:v>Two doors and three walls</x:v>
      </x:c>
      <x:c r="C6" s="18" t="str">
        <x:v>references/REF-01_different_starting_points_same_destination.png</x:v>
      </x:c>
      <x:c r="D6" s="18" t="str">
        <x:v>Equal cyan/warm doors; rocky monolith landscape. Ignore invented services and pronouns.</x:v>
      </x:c>
      <x:c r="E6" s="18" t="str">
        <x:v>46d7eb6f946d404955462b2e43c5c04b614e120d9c364641ec760f84a50ee624</x:v>
      </x:c>
    </x:row>
    <x:row r="7" ht="92" customHeight="1">
      <x:c r="A7" s="28" t="str">
        <x:v>REF-02</x:v>
      </x:c>
      <x:c r="B7" s="18" t="str">
        <x:v>Three areas / harness centerpiece</x:v>
      </x:c>
      <x:c r="C7" s="18" t="str">
        <x:v>references/REF-02_from_curiosity_to_practical_ai_outcomes.png</x:v>
      </x:c>
      <x:c r="D7" s="18" t="str">
        <x:v>Larger center visual flanked by two narrower areas; tailoring band. Not a service menu.</x:v>
      </x:c>
      <x:c r="E7" s="18" t="str">
        <x:v>65be9ff8aa210cd019a4d303822cca1254c6bc31fa013650e5ba31e7e15f6d00</x:v>
      </x:c>
    </x:row>
    <x:row r="8" ht="92" customHeight="1">
      <x:c r="A8" s="28" t="str">
        <x:v>REF-03</x:v>
      </x:c>
      <x:c r="B8" s="18" t="str">
        <x:v>Person / Cambodia</x:v>
      </x:c>
      <x:c r="C8" s="18" t="str">
        <x:v>references/REF-03_curiouslabs_practical_ai_for_cambodia.png</x:v>
      </x:c>
      <x:c r="D8" s="18" t="str">
        <x:v>Editorial city composition and credibility bands only. Generated portraits, signatures and geographic map are NOT approved.</x:v>
      </x:c>
      <x:c r="E8" s="18" t="str">
        <x:v>05b342c98aece8ebd90dd87f06307695432696c7a8f2c18b506e20cd2b1895c8</x:v>
      </x:c>
    </x:row>
    <x:row r="9" ht="92" customHeight="1">
      <x:c r="A9" s="28" t="str">
        <x:v>REF-04</x:v>
      </x:c>
      <x:c r="B9" s="18" t="str">
        <x:v>Approach / deeper reading</x:v>
      </x:c>
      <x:c r="C9" s="18" t="str">
        <x:v>references/REF-04_practical_paths_through_the_cosmos.png</x:v>
      </x:c>
      <x:c r="D9" s="18" t="str">
        <x:v>Luminous path and four illustrated reading entries. Image text does not define the methods.</x:v>
      </x:c>
      <x:c r="E9" s="18" t="str">
        <x:v>d8a2405edd9264a19f8c1e0ebedfe9f943e7a51adbc6316e807870706e86b8c6</x:v>
      </x:c>
    </x:row>
    <x:row r="10" ht="92" customHeight="1">
      <x:c r="A10" s="28" t="str">
        <x:v>REF-05</x:v>
      </x:c>
      <x:c r="B10" s="18" t="str">
        <x:v>Engagement / FAQ / final horizon</x:v>
      </x:c>
      <x:c r="C10" s="18" t="str">
        <x:v>references/REF-05_curiouslabs_from_conversation_to_impact.png</x:v>
      </x:c>
      <x:c r="D10" s="18" t="str">
        <x:v>Connected steps, quiet questions, Earth-horizon close. Keep canonical agreement step; no booking controls.</x:v>
      </x:c>
      <x:c r="E10" s="18" t="str">
        <x:v>d8a505682424ebfe95e62e0f26cfc5c08b62e6126447ec2b4af2e25c878c376c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d83345a66f54071"/>
  </x:tableParts>
</x:worksheet>
</file>